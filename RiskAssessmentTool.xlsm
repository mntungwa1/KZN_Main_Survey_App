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OUA\Downloads\"/>
    </mc:Choice>
  </mc:AlternateContent>
  <xr:revisionPtr revIDLastSave="0" documentId="8_{2ABE640B-06DB-4ADE-BFAE-070AF850614E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Vulnerabilty" sheetId="4" r:id="rId1"/>
    <sheet name="Hazard information" sheetId="1" r:id="rId2"/>
    <sheet name="Dropdown" sheetId="2" r:id="rId3"/>
    <sheet name="Services Notes" sheetId="11" r:id="rId4"/>
    <sheet name="Data summary" sheetId="10" r:id="rId5"/>
    <sheet name="Attendance list" sheetId="8" r:id="rId6"/>
    <sheet name="Services" sheetId="7" r:id="rId7"/>
    <sheet name="ESRI_MAPINFO_SHEET" sheetId="9" state="veryHidden" r:id="rId8"/>
  </sheets>
  <definedNames>
    <definedName name="_xlnm._FilterDatabase" localSheetId="1" hidden="1">'Hazard information'!$A$2:$BE$56</definedName>
    <definedName name="_xlnm._FilterDatabase" localSheetId="0" hidden="1">Vulnerabilty!$A$2:$W$56</definedName>
    <definedName name="_xlnm.Print_Area" localSheetId="6">Services!$A:$A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1" i="11"/>
  <c r="H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3" i="1"/>
  <c r="Q56" i="7"/>
  <c r="O56" i="7"/>
  <c r="M56" i="7"/>
  <c r="K56" i="7"/>
  <c r="I56" i="7"/>
  <c r="G56" i="7"/>
  <c r="E56" i="7"/>
  <c r="C56" i="7"/>
  <c r="Q55" i="7"/>
  <c r="O55" i="7"/>
  <c r="M55" i="7"/>
  <c r="K55" i="7"/>
  <c r="I55" i="7"/>
  <c r="G55" i="7"/>
  <c r="E55" i="7"/>
  <c r="C55" i="7"/>
  <c r="Q54" i="7"/>
  <c r="O54" i="7"/>
  <c r="M54" i="7"/>
  <c r="K54" i="7"/>
  <c r="I54" i="7"/>
  <c r="G54" i="7"/>
  <c r="E54" i="7"/>
  <c r="C54" i="7"/>
  <c r="Q53" i="7"/>
  <c r="O53" i="7"/>
  <c r="M53" i="7"/>
  <c r="K53" i="7"/>
  <c r="I53" i="7"/>
  <c r="G53" i="7"/>
  <c r="E53" i="7"/>
  <c r="C53" i="7"/>
  <c r="Q52" i="7"/>
  <c r="O52" i="7"/>
  <c r="M52" i="7"/>
  <c r="K52" i="7"/>
  <c r="I52" i="7"/>
  <c r="G52" i="7"/>
  <c r="E52" i="7"/>
  <c r="C52" i="7"/>
  <c r="Q51" i="7"/>
  <c r="O51" i="7"/>
  <c r="M51" i="7"/>
  <c r="K51" i="7"/>
  <c r="I51" i="7"/>
  <c r="G51" i="7"/>
  <c r="E51" i="7"/>
  <c r="C51" i="7"/>
  <c r="Q50" i="7"/>
  <c r="O50" i="7"/>
  <c r="M50" i="7"/>
  <c r="K50" i="7"/>
  <c r="I50" i="7"/>
  <c r="G50" i="7"/>
  <c r="E50" i="7"/>
  <c r="C50" i="7"/>
  <c r="Q49" i="7"/>
  <c r="O49" i="7"/>
  <c r="M49" i="7"/>
  <c r="K49" i="7"/>
  <c r="I49" i="7"/>
  <c r="G49" i="7"/>
  <c r="E49" i="7"/>
  <c r="C49" i="7"/>
  <c r="Q48" i="7"/>
  <c r="O48" i="7"/>
  <c r="M48" i="7"/>
  <c r="K48" i="7"/>
  <c r="I48" i="7"/>
  <c r="G48" i="7"/>
  <c r="E48" i="7"/>
  <c r="C48" i="7"/>
  <c r="Q47" i="7"/>
  <c r="O47" i="7"/>
  <c r="M47" i="7"/>
  <c r="K47" i="7"/>
  <c r="I47" i="7"/>
  <c r="G47" i="7"/>
  <c r="E47" i="7"/>
  <c r="C47" i="7"/>
  <c r="Q46" i="7"/>
  <c r="O46" i="7"/>
  <c r="M46" i="7"/>
  <c r="K46" i="7"/>
  <c r="I46" i="7"/>
  <c r="G46" i="7"/>
  <c r="E46" i="7"/>
  <c r="C46" i="7"/>
  <c r="Q45" i="7"/>
  <c r="O45" i="7"/>
  <c r="M45" i="7"/>
  <c r="K45" i="7"/>
  <c r="I45" i="7"/>
  <c r="G45" i="7"/>
  <c r="E45" i="7"/>
  <c r="C45" i="7"/>
  <c r="Q44" i="7"/>
  <c r="O44" i="7"/>
  <c r="M44" i="7"/>
  <c r="K44" i="7"/>
  <c r="I44" i="7"/>
  <c r="G44" i="7"/>
  <c r="E44" i="7"/>
  <c r="C44" i="7"/>
  <c r="Q43" i="7"/>
  <c r="O43" i="7"/>
  <c r="M43" i="7"/>
  <c r="K43" i="7"/>
  <c r="I43" i="7"/>
  <c r="G43" i="7"/>
  <c r="E43" i="7"/>
  <c r="C43" i="7"/>
  <c r="Q42" i="7"/>
  <c r="O42" i="7"/>
  <c r="M42" i="7"/>
  <c r="K42" i="7"/>
  <c r="I42" i="7"/>
  <c r="G42" i="7"/>
  <c r="E42" i="7"/>
  <c r="C42" i="7"/>
  <c r="Q41" i="7"/>
  <c r="O41" i="7"/>
  <c r="M41" i="7"/>
  <c r="K41" i="7"/>
  <c r="I41" i="7"/>
  <c r="G41" i="7"/>
  <c r="E41" i="7"/>
  <c r="C41" i="7"/>
  <c r="Q40" i="7"/>
  <c r="O40" i="7"/>
  <c r="M40" i="7"/>
  <c r="K40" i="7"/>
  <c r="I40" i="7"/>
  <c r="G40" i="7"/>
  <c r="E40" i="7"/>
  <c r="C40" i="7"/>
  <c r="Q39" i="7"/>
  <c r="O39" i="7"/>
  <c r="M39" i="7"/>
  <c r="K39" i="7"/>
  <c r="I39" i="7"/>
  <c r="G39" i="7"/>
  <c r="E39" i="7"/>
  <c r="C39" i="7"/>
  <c r="Q38" i="7"/>
  <c r="O38" i="7"/>
  <c r="M38" i="7"/>
  <c r="K38" i="7"/>
  <c r="I38" i="7"/>
  <c r="G38" i="7"/>
  <c r="E38" i="7"/>
  <c r="C38" i="7"/>
  <c r="Q37" i="7"/>
  <c r="O37" i="7"/>
  <c r="M37" i="7"/>
  <c r="K37" i="7"/>
  <c r="I37" i="7"/>
  <c r="G37" i="7"/>
  <c r="E37" i="7"/>
  <c r="C37" i="7"/>
  <c r="Q36" i="7"/>
  <c r="O36" i="7"/>
  <c r="M36" i="7"/>
  <c r="K36" i="7"/>
  <c r="I36" i="7"/>
  <c r="G36" i="7"/>
  <c r="E36" i="7"/>
  <c r="C36" i="7"/>
  <c r="Q35" i="7"/>
  <c r="O35" i="7"/>
  <c r="M35" i="7"/>
  <c r="K35" i="7"/>
  <c r="I35" i="7"/>
  <c r="G35" i="7"/>
  <c r="E35" i="7"/>
  <c r="C35" i="7"/>
  <c r="Q34" i="7"/>
  <c r="O34" i="7"/>
  <c r="M34" i="7"/>
  <c r="K34" i="7"/>
  <c r="I34" i="7"/>
  <c r="G34" i="7"/>
  <c r="E34" i="7"/>
  <c r="C34" i="7"/>
  <c r="Q33" i="7"/>
  <c r="O33" i="7"/>
  <c r="M33" i="7"/>
  <c r="K33" i="7"/>
  <c r="I33" i="7"/>
  <c r="G33" i="7"/>
  <c r="E33" i="7"/>
  <c r="C33" i="7"/>
  <c r="Q32" i="7"/>
  <c r="O32" i="7"/>
  <c r="M32" i="7"/>
  <c r="K32" i="7"/>
  <c r="I32" i="7"/>
  <c r="G32" i="7"/>
  <c r="E32" i="7"/>
  <c r="C32" i="7"/>
  <c r="Q31" i="7"/>
  <c r="O31" i="7"/>
  <c r="M31" i="7"/>
  <c r="K31" i="7"/>
  <c r="I31" i="7"/>
  <c r="G31" i="7"/>
  <c r="E31" i="7"/>
  <c r="C31" i="7"/>
  <c r="Q30" i="7"/>
  <c r="O30" i="7"/>
  <c r="M30" i="7"/>
  <c r="K30" i="7"/>
  <c r="I30" i="7"/>
  <c r="G30" i="7"/>
  <c r="E30" i="7"/>
  <c r="C30" i="7"/>
  <c r="Q29" i="7"/>
  <c r="O29" i="7"/>
  <c r="M29" i="7"/>
  <c r="K29" i="7"/>
  <c r="I29" i="7"/>
  <c r="G29" i="7"/>
  <c r="E29" i="7"/>
  <c r="C29" i="7"/>
  <c r="Q28" i="7"/>
  <c r="O28" i="7"/>
  <c r="M28" i="7"/>
  <c r="K28" i="7"/>
  <c r="I28" i="7"/>
  <c r="G28" i="7"/>
  <c r="E28" i="7"/>
  <c r="C28" i="7"/>
  <c r="Q27" i="7"/>
  <c r="O27" i="7"/>
  <c r="M27" i="7"/>
  <c r="K27" i="7"/>
  <c r="I27" i="7"/>
  <c r="G27" i="7"/>
  <c r="E27" i="7"/>
  <c r="C27" i="7"/>
  <c r="Q26" i="7"/>
  <c r="O26" i="7"/>
  <c r="M26" i="7"/>
  <c r="K26" i="7"/>
  <c r="I26" i="7"/>
  <c r="G26" i="7"/>
  <c r="E26" i="7"/>
  <c r="C26" i="7"/>
  <c r="Q25" i="7"/>
  <c r="O25" i="7"/>
  <c r="M25" i="7"/>
  <c r="K25" i="7"/>
  <c r="I25" i="7"/>
  <c r="G25" i="7"/>
  <c r="E25" i="7"/>
  <c r="C25" i="7"/>
  <c r="Q24" i="7"/>
  <c r="O24" i="7"/>
  <c r="M24" i="7"/>
  <c r="K24" i="7"/>
  <c r="I24" i="7"/>
  <c r="G24" i="7"/>
  <c r="E24" i="7"/>
  <c r="C24" i="7"/>
  <c r="Q23" i="7"/>
  <c r="O23" i="7"/>
  <c r="M23" i="7"/>
  <c r="K23" i="7"/>
  <c r="I23" i="7"/>
  <c r="G23" i="7"/>
  <c r="E23" i="7"/>
  <c r="C23" i="7"/>
  <c r="Q22" i="7"/>
  <c r="O22" i="7"/>
  <c r="M22" i="7"/>
  <c r="K22" i="7"/>
  <c r="I22" i="7"/>
  <c r="G22" i="7"/>
  <c r="E22" i="7"/>
  <c r="C22" i="7"/>
  <c r="Q21" i="7"/>
  <c r="O21" i="7"/>
  <c r="M21" i="7"/>
  <c r="K21" i="7"/>
  <c r="I21" i="7"/>
  <c r="G21" i="7"/>
  <c r="E21" i="7"/>
  <c r="C21" i="7"/>
  <c r="Q20" i="7"/>
  <c r="O20" i="7"/>
  <c r="M20" i="7"/>
  <c r="K20" i="7"/>
  <c r="I20" i="7"/>
  <c r="G20" i="7"/>
  <c r="E20" i="7"/>
  <c r="C20" i="7"/>
  <c r="Q19" i="7"/>
  <c r="O19" i="7"/>
  <c r="M19" i="7"/>
  <c r="K19" i="7"/>
  <c r="I19" i="7"/>
  <c r="G19" i="7"/>
  <c r="E19" i="7"/>
  <c r="C19" i="7"/>
  <c r="Q18" i="7"/>
  <c r="O18" i="7"/>
  <c r="M18" i="7"/>
  <c r="K18" i="7"/>
  <c r="I18" i="7"/>
  <c r="G18" i="7"/>
  <c r="E18" i="7"/>
  <c r="C18" i="7"/>
  <c r="Q17" i="7"/>
  <c r="O17" i="7"/>
  <c r="M17" i="7"/>
  <c r="K17" i="7"/>
  <c r="I17" i="7"/>
  <c r="G17" i="7"/>
  <c r="E17" i="7"/>
  <c r="C17" i="7"/>
  <c r="Q16" i="7"/>
  <c r="O16" i="7"/>
  <c r="M16" i="7"/>
  <c r="K16" i="7"/>
  <c r="I16" i="7"/>
  <c r="G16" i="7"/>
  <c r="E16" i="7"/>
  <c r="C16" i="7"/>
  <c r="Q15" i="7"/>
  <c r="O15" i="7"/>
  <c r="M15" i="7"/>
  <c r="K15" i="7"/>
  <c r="I15" i="7"/>
  <c r="G15" i="7"/>
  <c r="E15" i="7"/>
  <c r="C15" i="7"/>
  <c r="Q14" i="7"/>
  <c r="O14" i="7"/>
  <c r="M14" i="7"/>
  <c r="K14" i="7"/>
  <c r="I14" i="7"/>
  <c r="G14" i="7"/>
  <c r="E14" i="7"/>
  <c r="C14" i="7"/>
  <c r="Q13" i="7"/>
  <c r="O13" i="7"/>
  <c r="M13" i="7"/>
  <c r="K13" i="7"/>
  <c r="I13" i="7"/>
  <c r="G13" i="7"/>
  <c r="E13" i="7"/>
  <c r="C13" i="7"/>
  <c r="Q12" i="7"/>
  <c r="O12" i="7"/>
  <c r="M12" i="7"/>
  <c r="K12" i="7"/>
  <c r="I12" i="7"/>
  <c r="G12" i="7"/>
  <c r="E12" i="7"/>
  <c r="C12" i="7"/>
  <c r="Q11" i="7"/>
  <c r="O11" i="7"/>
  <c r="M11" i="7"/>
  <c r="K11" i="7"/>
  <c r="I11" i="7"/>
  <c r="G11" i="7"/>
  <c r="E11" i="7"/>
  <c r="C11" i="7"/>
  <c r="Q10" i="7"/>
  <c r="O10" i="7"/>
  <c r="M10" i="7"/>
  <c r="K10" i="7"/>
  <c r="I10" i="7"/>
  <c r="G10" i="7"/>
  <c r="E10" i="7"/>
  <c r="C10" i="7"/>
  <c r="Q9" i="7"/>
  <c r="O9" i="7"/>
  <c r="M9" i="7"/>
  <c r="K9" i="7"/>
  <c r="I9" i="7"/>
  <c r="G9" i="7"/>
  <c r="E9" i="7"/>
  <c r="C9" i="7"/>
  <c r="Q8" i="7"/>
  <c r="O8" i="7"/>
  <c r="M8" i="7"/>
  <c r="K8" i="7"/>
  <c r="I8" i="7"/>
  <c r="G8" i="7"/>
  <c r="E8" i="7"/>
  <c r="C8" i="7"/>
  <c r="Q7" i="7"/>
  <c r="O7" i="7"/>
  <c r="M7" i="7"/>
  <c r="K7" i="7"/>
  <c r="I7" i="7"/>
  <c r="G7" i="7"/>
  <c r="E7" i="7"/>
  <c r="C7" i="7"/>
  <c r="Q6" i="7"/>
  <c r="O6" i="7"/>
  <c r="M6" i="7"/>
  <c r="K6" i="7"/>
  <c r="I6" i="7"/>
  <c r="G6" i="7"/>
  <c r="E6" i="7"/>
  <c r="C6" i="7"/>
  <c r="Q5" i="7"/>
  <c r="O5" i="7"/>
  <c r="M5" i="7"/>
  <c r="K5" i="7"/>
  <c r="I5" i="7"/>
  <c r="G5" i="7"/>
  <c r="E5" i="7"/>
  <c r="C5" i="7"/>
  <c r="Q4" i="7"/>
  <c r="O4" i="7"/>
  <c r="M4" i="7"/>
  <c r="K4" i="7"/>
  <c r="I4" i="7"/>
  <c r="G4" i="7"/>
  <c r="E4" i="7"/>
  <c r="C4" i="7"/>
  <c r="Q3" i="7"/>
  <c r="O3" i="7"/>
  <c r="M3" i="7"/>
  <c r="K3" i="7"/>
  <c r="I3" i="7"/>
  <c r="G3" i="7"/>
  <c r="E3" i="7"/>
  <c r="C3" i="7"/>
  <c r="V56" i="10"/>
  <c r="A56" i="10"/>
  <c r="V55" i="10"/>
  <c r="A55" i="10"/>
  <c r="V54" i="10"/>
  <c r="A54" i="10"/>
  <c r="V53" i="10"/>
  <c r="A53" i="10"/>
  <c r="V52" i="10"/>
  <c r="A52" i="10"/>
  <c r="V51" i="10"/>
  <c r="A51" i="10"/>
  <c r="V50" i="10"/>
  <c r="A50" i="10"/>
  <c r="V49" i="10"/>
  <c r="A49" i="10"/>
  <c r="V48" i="10"/>
  <c r="A48" i="10"/>
  <c r="V47" i="10"/>
  <c r="A47" i="10"/>
  <c r="V46" i="10"/>
  <c r="A46" i="10"/>
  <c r="V45" i="10"/>
  <c r="A45" i="10"/>
  <c r="V44" i="10"/>
  <c r="A44" i="10"/>
  <c r="V43" i="10"/>
  <c r="A43" i="10"/>
  <c r="V42" i="10"/>
  <c r="A42" i="10"/>
  <c r="V41" i="10"/>
  <c r="A41" i="10"/>
  <c r="V40" i="10"/>
  <c r="A40" i="10"/>
  <c r="V39" i="10"/>
  <c r="A39" i="10"/>
  <c r="V38" i="10"/>
  <c r="A38" i="10"/>
  <c r="V37" i="10"/>
  <c r="A37" i="10"/>
  <c r="V36" i="10"/>
  <c r="A36" i="10"/>
  <c r="V35" i="10"/>
  <c r="A35" i="10"/>
  <c r="V34" i="10"/>
  <c r="A34" i="10"/>
  <c r="V33" i="10"/>
  <c r="A33" i="10"/>
  <c r="V32" i="10"/>
  <c r="A32" i="10"/>
  <c r="V31" i="10"/>
  <c r="A31" i="10"/>
  <c r="V30" i="10"/>
  <c r="A30" i="10"/>
  <c r="V29" i="10"/>
  <c r="A29" i="10"/>
  <c r="V28" i="10"/>
  <c r="A28" i="10"/>
  <c r="V27" i="10"/>
  <c r="A27" i="10"/>
  <c r="V26" i="10"/>
  <c r="A26" i="10"/>
  <c r="V25" i="10"/>
  <c r="A25" i="10"/>
  <c r="V24" i="10"/>
  <c r="A24" i="10"/>
  <c r="V23" i="10"/>
  <c r="A23" i="10"/>
  <c r="V22" i="10"/>
  <c r="A22" i="10"/>
  <c r="V21" i="10"/>
  <c r="A21" i="10"/>
  <c r="V20" i="10"/>
  <c r="A20" i="10"/>
  <c r="V19" i="10"/>
  <c r="A19" i="10"/>
  <c r="V18" i="10"/>
  <c r="A18" i="10"/>
  <c r="V17" i="10"/>
  <c r="A17" i="10"/>
  <c r="V16" i="10"/>
  <c r="A16" i="10"/>
  <c r="V15" i="10"/>
  <c r="A15" i="10"/>
  <c r="V14" i="10"/>
  <c r="A14" i="10"/>
  <c r="V13" i="10"/>
  <c r="A13" i="10"/>
  <c r="V12" i="10"/>
  <c r="A12" i="10"/>
  <c r="V11" i="10"/>
  <c r="A11" i="10"/>
  <c r="V10" i="10"/>
  <c r="A10" i="10"/>
  <c r="V9" i="10"/>
  <c r="A9" i="10"/>
  <c r="V8" i="10"/>
  <c r="A8" i="10"/>
  <c r="V7" i="10"/>
  <c r="A7" i="10"/>
  <c r="V6" i="10"/>
  <c r="A6" i="10"/>
  <c r="V5" i="10"/>
  <c r="A5" i="10"/>
  <c r="V4" i="10"/>
  <c r="A4" i="10"/>
  <c r="V3" i="10"/>
  <c r="A3" i="10"/>
  <c r="AD2" i="10"/>
  <c r="AC2" i="10"/>
  <c r="AB2" i="10"/>
  <c r="AA2" i="10"/>
  <c r="Z2" i="10"/>
  <c r="Y2" i="10"/>
  <c r="X2" i="10"/>
  <c r="W2" i="10"/>
  <c r="V2" i="10"/>
  <c r="T2" i="10"/>
  <c r="S2" i="10"/>
  <c r="R2" i="10"/>
  <c r="Q2" i="10"/>
  <c r="P2" i="10"/>
  <c r="O2" i="10"/>
  <c r="N2" i="10"/>
  <c r="M2" i="10"/>
  <c r="K2" i="10"/>
  <c r="J2" i="10"/>
  <c r="I2" i="10"/>
  <c r="H2" i="10"/>
  <c r="G2" i="10"/>
  <c r="F2" i="10"/>
  <c r="E2" i="10"/>
  <c r="D2" i="10"/>
  <c r="C2" i="10"/>
  <c r="B2" i="10"/>
  <c r="AN54" i="1" l="1"/>
  <c r="T25" i="10" s="1"/>
  <c r="AL54" i="1"/>
  <c r="S25" i="10" s="1"/>
  <c r="AJ54" i="1"/>
  <c r="R25" i="10" s="1"/>
  <c r="AH54" i="1"/>
  <c r="Q25" i="10" s="1"/>
  <c r="AF54" i="1"/>
  <c r="P25" i="10" s="1"/>
  <c r="AD54" i="1"/>
  <c r="O25" i="10" s="1"/>
  <c r="AB54" i="1"/>
  <c r="N25" i="10" s="1"/>
  <c r="Z54" i="1"/>
  <c r="M25" i="10" s="1"/>
  <c r="X54" i="1"/>
  <c r="K25" i="10" s="1"/>
  <c r="V54" i="1"/>
  <c r="J25" i="10" s="1"/>
  <c r="T54" i="1"/>
  <c r="I25" i="10" s="1"/>
  <c r="R54" i="1"/>
  <c r="H25" i="10" s="1"/>
  <c r="P54" i="1"/>
  <c r="G25" i="10" s="1"/>
  <c r="N54" i="1"/>
  <c r="F25" i="10" s="1"/>
  <c r="L54" i="1"/>
  <c r="E25" i="10" s="1"/>
  <c r="J54" i="1"/>
  <c r="D25" i="10" s="1"/>
  <c r="H54" i="1"/>
  <c r="C25" i="10" s="1"/>
  <c r="B25" i="10"/>
  <c r="AN55" i="1"/>
  <c r="T26" i="10" s="1"/>
  <c r="AL55" i="1"/>
  <c r="S26" i="10" s="1"/>
  <c r="AJ55" i="1"/>
  <c r="R26" i="10" s="1"/>
  <c r="AH55" i="1"/>
  <c r="Q26" i="10" s="1"/>
  <c r="AF55" i="1"/>
  <c r="P26" i="10" s="1"/>
  <c r="AD55" i="1"/>
  <c r="O26" i="10" s="1"/>
  <c r="AB55" i="1"/>
  <c r="N26" i="10" s="1"/>
  <c r="Z55" i="1"/>
  <c r="M26" i="10" s="1"/>
  <c r="AN53" i="1"/>
  <c r="T24" i="10" s="1"/>
  <c r="AL53" i="1"/>
  <c r="S24" i="10" s="1"/>
  <c r="AJ53" i="1"/>
  <c r="R24" i="10" s="1"/>
  <c r="AH53" i="1"/>
  <c r="Q24" i="10" s="1"/>
  <c r="AF53" i="1"/>
  <c r="P24" i="10" s="1"/>
  <c r="AD53" i="1"/>
  <c r="O24" i="10" s="1"/>
  <c r="AB53" i="1"/>
  <c r="N24" i="10" s="1"/>
  <c r="X52" i="1"/>
  <c r="K23" i="10" s="1"/>
  <c r="V52" i="1"/>
  <c r="J23" i="10" s="1"/>
  <c r="T52" i="1"/>
  <c r="I23" i="10" s="1"/>
  <c r="R52" i="1"/>
  <c r="H23" i="10" s="1"/>
  <c r="P52" i="1"/>
  <c r="G23" i="10" s="1"/>
  <c r="N52" i="1"/>
  <c r="F23" i="10" s="1"/>
  <c r="L52" i="1"/>
  <c r="E23" i="10" s="1"/>
  <c r="J52" i="1"/>
  <c r="D23" i="10" s="1"/>
  <c r="H52" i="1"/>
  <c r="C23" i="10" s="1"/>
  <c r="B23" i="10"/>
  <c r="AN52" i="1"/>
  <c r="T23" i="10" s="1"/>
  <c r="AL52" i="1"/>
  <c r="S23" i="10" s="1"/>
  <c r="AJ52" i="1"/>
  <c r="R23" i="10" s="1"/>
  <c r="AH52" i="1"/>
  <c r="Q23" i="10" s="1"/>
  <c r="AF52" i="1"/>
  <c r="P23" i="10" s="1"/>
  <c r="AD52" i="1"/>
  <c r="O23" i="10" s="1"/>
  <c r="AB52" i="1"/>
  <c r="N23" i="10" s="1"/>
  <c r="Z52" i="1"/>
  <c r="M23" i="10" s="1"/>
  <c r="AN51" i="1"/>
  <c r="T22" i="10" s="1"/>
  <c r="AL51" i="1"/>
  <c r="S22" i="10" s="1"/>
  <c r="AJ51" i="1"/>
  <c r="R22" i="10" s="1"/>
  <c r="AH51" i="1"/>
  <c r="Q22" i="10" s="1"/>
  <c r="AF51" i="1"/>
  <c r="P22" i="10" s="1"/>
  <c r="AD51" i="1"/>
  <c r="O22" i="10" s="1"/>
  <c r="AB51" i="1"/>
  <c r="N22" i="10" s="1"/>
  <c r="Z51" i="1"/>
  <c r="M22" i="10" s="1"/>
  <c r="AN50" i="1"/>
  <c r="T21" i="10" s="1"/>
  <c r="AL50" i="1"/>
  <c r="S21" i="10" s="1"/>
  <c r="AJ50" i="1"/>
  <c r="R21" i="10" s="1"/>
  <c r="AH50" i="1"/>
  <c r="Q21" i="10" s="1"/>
  <c r="AF50" i="1"/>
  <c r="P21" i="10" s="1"/>
  <c r="AD50" i="1"/>
  <c r="O21" i="10" s="1"/>
  <c r="AB50" i="1"/>
  <c r="N21" i="10" s="1"/>
  <c r="Z50" i="1"/>
  <c r="M21" i="10" s="1"/>
  <c r="V48" i="1"/>
  <c r="J54" i="10" s="1"/>
  <c r="T48" i="1"/>
  <c r="I54" i="10" s="1"/>
  <c r="R48" i="1"/>
  <c r="H54" i="10" s="1"/>
  <c r="P48" i="1"/>
  <c r="G54" i="10" s="1"/>
  <c r="N48" i="1"/>
  <c r="F54" i="10" s="1"/>
  <c r="L48" i="1"/>
  <c r="E54" i="10" s="1"/>
  <c r="J48" i="1"/>
  <c r="D54" i="10" s="1"/>
  <c r="H48" i="1"/>
  <c r="C54" i="10" s="1"/>
  <c r="B54" i="10"/>
  <c r="AN48" i="1"/>
  <c r="T54" i="10" s="1"/>
  <c r="AL48" i="1"/>
  <c r="S54" i="10" s="1"/>
  <c r="AJ48" i="1"/>
  <c r="R54" i="10" s="1"/>
  <c r="AH48" i="1"/>
  <c r="Q54" i="10" s="1"/>
  <c r="AF48" i="1"/>
  <c r="P54" i="10" s="1"/>
  <c r="AD48" i="1"/>
  <c r="O54" i="10" s="1"/>
  <c r="AB48" i="1"/>
  <c r="N54" i="10" s="1"/>
  <c r="Z48" i="1"/>
  <c r="M54" i="10" s="1"/>
  <c r="AN47" i="1"/>
  <c r="T53" i="10" s="1"/>
  <c r="AL47" i="1"/>
  <c r="S53" i="10" s="1"/>
  <c r="AJ47" i="1"/>
  <c r="R53" i="10" s="1"/>
  <c r="AH47" i="1"/>
  <c r="Q53" i="10" s="1"/>
  <c r="AF47" i="1"/>
  <c r="P53" i="10" s="1"/>
  <c r="AD47" i="1"/>
  <c r="O53" i="10" s="1"/>
  <c r="AB47" i="1"/>
  <c r="N53" i="10" s="1"/>
  <c r="Z47" i="1"/>
  <c r="M53" i="10" s="1"/>
  <c r="AN39" i="1"/>
  <c r="T56" i="10" s="1"/>
  <c r="AL39" i="1"/>
  <c r="S56" i="10" s="1"/>
  <c r="AJ39" i="1"/>
  <c r="R56" i="10" s="1"/>
  <c r="AH39" i="1"/>
  <c r="Q56" i="10" s="1"/>
  <c r="AF39" i="1"/>
  <c r="P56" i="10" s="1"/>
  <c r="AD39" i="1"/>
  <c r="O56" i="10" s="1"/>
  <c r="AB39" i="1"/>
  <c r="N56" i="10" s="1"/>
  <c r="Z39" i="1"/>
  <c r="M56" i="10" s="1"/>
  <c r="AN37" i="1"/>
  <c r="T52" i="10" s="1"/>
  <c r="AL37" i="1"/>
  <c r="S52" i="10" s="1"/>
  <c r="AJ37" i="1"/>
  <c r="R52" i="10" s="1"/>
  <c r="AH37" i="1"/>
  <c r="Q52" i="10" s="1"/>
  <c r="AF37" i="1"/>
  <c r="P52" i="10" s="1"/>
  <c r="AD37" i="1"/>
  <c r="O52" i="10" s="1"/>
  <c r="AB37" i="1"/>
  <c r="N52" i="10" s="1"/>
  <c r="Z37" i="1"/>
  <c r="M52" i="10" s="1"/>
  <c r="AL33" i="1"/>
  <c r="S29" i="10" s="1"/>
  <c r="AJ33" i="1"/>
  <c r="R29" i="10" s="1"/>
  <c r="AH33" i="1"/>
  <c r="Q29" i="10" s="1"/>
  <c r="AF33" i="1"/>
  <c r="P29" i="10" s="1"/>
  <c r="AD33" i="1"/>
  <c r="O29" i="10" s="1"/>
  <c r="AB33" i="1"/>
  <c r="N29" i="10" s="1"/>
  <c r="Z33" i="1"/>
  <c r="M29" i="10" s="1"/>
  <c r="AL23" i="1"/>
  <c r="S31" i="10" s="1"/>
  <c r="AJ23" i="1"/>
  <c r="R31" i="10" s="1"/>
  <c r="AH23" i="1"/>
  <c r="Q31" i="10" s="1"/>
  <c r="AF23" i="1"/>
  <c r="P31" i="10" s="1"/>
  <c r="AD23" i="1"/>
  <c r="O31" i="10" s="1"/>
  <c r="AB23" i="1"/>
  <c r="N31" i="10" s="1"/>
  <c r="Z23" i="1"/>
  <c r="M31" i="10" s="1"/>
  <c r="X23" i="1"/>
  <c r="K31" i="10" s="1"/>
  <c r="V23" i="1"/>
  <c r="J31" i="10" s="1"/>
  <c r="T23" i="1"/>
  <c r="I31" i="10" s="1"/>
  <c r="R23" i="1"/>
  <c r="H31" i="10" s="1"/>
  <c r="P23" i="1"/>
  <c r="G31" i="10" s="1"/>
  <c r="N23" i="1"/>
  <c r="F31" i="10" s="1"/>
  <c r="L23" i="1"/>
  <c r="E31" i="10" s="1"/>
  <c r="J23" i="1"/>
  <c r="D31" i="10" s="1"/>
  <c r="H23" i="1"/>
  <c r="C31" i="10" s="1"/>
  <c r="B31" i="10"/>
  <c r="AN23" i="1"/>
  <c r="T31" i="10" s="1"/>
  <c r="AN22" i="1"/>
  <c r="T35" i="10" s="1"/>
  <c r="AL22" i="1"/>
  <c r="S35" i="10" s="1"/>
  <c r="AJ22" i="1"/>
  <c r="R35" i="10" s="1"/>
  <c r="AH22" i="1"/>
  <c r="Q35" i="10" s="1"/>
  <c r="AF22" i="1"/>
  <c r="P35" i="10" s="1"/>
  <c r="AD22" i="1"/>
  <c r="O35" i="10" s="1"/>
  <c r="AB22" i="1"/>
  <c r="N35" i="10" s="1"/>
  <c r="Z22" i="1"/>
  <c r="M35" i="10" s="1"/>
  <c r="AN17" i="1"/>
  <c r="T39" i="10" s="1"/>
  <c r="AL17" i="1"/>
  <c r="S39" i="10" s="1"/>
  <c r="AJ17" i="1"/>
  <c r="R39" i="10" s="1"/>
  <c r="AH17" i="1"/>
  <c r="Q39" i="10" s="1"/>
  <c r="AF17" i="1"/>
  <c r="P39" i="10" s="1"/>
  <c r="AD17" i="1"/>
  <c r="O39" i="10" s="1"/>
  <c r="AB17" i="1"/>
  <c r="N39" i="10" s="1"/>
  <c r="Z17" i="1"/>
  <c r="M39" i="10" s="1"/>
  <c r="V8" i="1"/>
  <c r="J37" i="10" s="1"/>
  <c r="T8" i="1"/>
  <c r="I37" i="10" s="1"/>
  <c r="R8" i="1"/>
  <c r="H37" i="10" s="1"/>
  <c r="P8" i="1"/>
  <c r="G37" i="10" s="1"/>
  <c r="N8" i="1"/>
  <c r="F37" i="10" s="1"/>
  <c r="L8" i="1"/>
  <c r="E37" i="10" s="1"/>
  <c r="J8" i="1"/>
  <c r="D37" i="10" s="1"/>
  <c r="H8" i="1"/>
  <c r="C37" i="10" s="1"/>
  <c r="B37" i="10"/>
  <c r="BE8" i="1"/>
  <c r="AD37" i="10" s="1"/>
  <c r="BC8" i="1"/>
  <c r="AC37" i="10" s="1"/>
  <c r="BA8" i="1"/>
  <c r="AB37" i="10" s="1"/>
  <c r="AY8" i="1"/>
  <c r="AA37" i="10" s="1"/>
  <c r="AW8" i="1"/>
  <c r="Z37" i="10" s="1"/>
  <c r="AU8" i="1"/>
  <c r="Y37" i="10" s="1"/>
  <c r="AS8" i="1"/>
  <c r="X37" i="10" s="1"/>
  <c r="BE6" i="1"/>
  <c r="AD8" i="10" s="1"/>
  <c r="BC6" i="1"/>
  <c r="AC8" i="10" s="1"/>
  <c r="BA6" i="1"/>
  <c r="AB8" i="10" s="1"/>
  <c r="AY6" i="1"/>
  <c r="AA8" i="10" s="1"/>
  <c r="AW6" i="1"/>
  <c r="Z8" i="10" s="1"/>
  <c r="AU6" i="1"/>
  <c r="Y8" i="10" s="1"/>
  <c r="AS6" i="1"/>
  <c r="X8" i="10" s="1"/>
  <c r="BE5" i="1"/>
  <c r="AD33" i="10" s="1"/>
  <c r="BC5" i="1"/>
  <c r="AC33" i="10" s="1"/>
  <c r="BA5" i="1"/>
  <c r="AB33" i="10" s="1"/>
  <c r="AY5" i="1"/>
  <c r="AA33" i="10" s="1"/>
  <c r="AW5" i="1"/>
  <c r="Z33" i="10" s="1"/>
  <c r="AU5" i="1"/>
  <c r="Y33" i="10" s="1"/>
  <c r="AS5" i="1"/>
  <c r="X33" i="10" s="1"/>
  <c r="AN49" i="1"/>
  <c r="T55" i="10" s="1"/>
  <c r="AL49" i="1"/>
  <c r="S55" i="10" s="1"/>
  <c r="AJ49" i="1"/>
  <c r="R55" i="10" s="1"/>
  <c r="AH49" i="1"/>
  <c r="Q55" i="10" s="1"/>
  <c r="AF49" i="1"/>
  <c r="P55" i="10" s="1"/>
  <c r="AD49" i="1"/>
  <c r="O55" i="10" s="1"/>
  <c r="AB49" i="1"/>
  <c r="N55" i="10" s="1"/>
  <c r="Z49" i="1"/>
  <c r="M55" i="10" s="1"/>
  <c r="AN38" i="1"/>
  <c r="T46" i="10" s="1"/>
  <c r="AL38" i="1"/>
  <c r="S46" i="10" s="1"/>
  <c r="AJ38" i="1"/>
  <c r="R46" i="10" s="1"/>
  <c r="AH38" i="1"/>
  <c r="Q46" i="10" s="1"/>
  <c r="AF38" i="1"/>
  <c r="P46" i="10" s="1"/>
  <c r="AD38" i="1"/>
  <c r="O46" i="10" s="1"/>
  <c r="AB38" i="1"/>
  <c r="N46" i="10" s="1"/>
  <c r="Z38" i="1"/>
  <c r="M46" i="10" s="1"/>
  <c r="AN36" i="1"/>
  <c r="T40" i="10" s="1"/>
  <c r="AL36" i="1"/>
  <c r="S40" i="10" s="1"/>
  <c r="AJ36" i="1"/>
  <c r="R40" i="10" s="1"/>
  <c r="AH36" i="1"/>
  <c r="Q40" i="10" s="1"/>
  <c r="AF36" i="1"/>
  <c r="P40" i="10" s="1"/>
  <c r="AD36" i="1"/>
  <c r="O40" i="10" s="1"/>
  <c r="AB36" i="1"/>
  <c r="N40" i="10" s="1"/>
  <c r="Z36" i="1"/>
  <c r="M40" i="10" s="1"/>
  <c r="AN35" i="1"/>
  <c r="T30" i="10" s="1"/>
  <c r="AL35" i="1"/>
  <c r="S30" i="10" s="1"/>
  <c r="AJ35" i="1"/>
  <c r="R30" i="10" s="1"/>
  <c r="AH35" i="1"/>
  <c r="Q30" i="10" s="1"/>
  <c r="AF35" i="1"/>
  <c r="P30" i="10" s="1"/>
  <c r="AD35" i="1"/>
  <c r="O30" i="10" s="1"/>
  <c r="AB35" i="1"/>
  <c r="N30" i="10" s="1"/>
  <c r="AN32" i="1"/>
  <c r="T45" i="10" s="1"/>
  <c r="AL32" i="1"/>
  <c r="S45" i="10" s="1"/>
  <c r="AJ32" i="1"/>
  <c r="R45" i="10" s="1"/>
  <c r="AH32" i="1"/>
  <c r="Q45" i="10" s="1"/>
  <c r="AF32" i="1"/>
  <c r="P45" i="10" s="1"/>
  <c r="AD32" i="1"/>
  <c r="O45" i="10" s="1"/>
  <c r="AB32" i="1"/>
  <c r="N45" i="10" s="1"/>
  <c r="Z32" i="1"/>
  <c r="M45" i="10" s="1"/>
  <c r="AN29" i="1"/>
  <c r="T12" i="10" s="1"/>
  <c r="AL29" i="1"/>
  <c r="S12" i="10" s="1"/>
  <c r="AJ29" i="1"/>
  <c r="R12" i="10" s="1"/>
  <c r="AH29" i="1"/>
  <c r="Q12" i="10" s="1"/>
  <c r="AF29" i="1"/>
  <c r="P12" i="10" s="1"/>
  <c r="AD29" i="1"/>
  <c r="O12" i="10" s="1"/>
  <c r="AB29" i="1"/>
  <c r="N12" i="10" s="1"/>
  <c r="Z29" i="1"/>
  <c r="M12" i="10" s="1"/>
  <c r="U53" i="10" l="1"/>
  <c r="U40" i="10"/>
  <c r="L25" i="10"/>
  <c r="U12" i="10"/>
  <c r="U45" i="10"/>
  <c r="U52" i="10"/>
  <c r="U54" i="10"/>
  <c r="U21" i="10"/>
  <c r="U22" i="10"/>
  <c r="L31" i="10"/>
  <c r="U31" i="10"/>
  <c r="U56" i="10"/>
  <c r="U25" i="10"/>
  <c r="U46" i="10"/>
  <c r="U55" i="10"/>
  <c r="U39" i="10"/>
  <c r="U35" i="10"/>
  <c r="U23" i="10"/>
  <c r="L23" i="10"/>
  <c r="U26" i="10"/>
  <c r="X49" i="1"/>
  <c r="K55" i="10" s="1"/>
  <c r="V49" i="1"/>
  <c r="J55" i="10" s="1"/>
  <c r="T49" i="1"/>
  <c r="I55" i="10" s="1"/>
  <c r="R49" i="1"/>
  <c r="H55" i="10" s="1"/>
  <c r="P49" i="1"/>
  <c r="G55" i="10" s="1"/>
  <c r="N49" i="1"/>
  <c r="F55" i="10" s="1"/>
  <c r="L49" i="1"/>
  <c r="E55" i="10" s="1"/>
  <c r="J49" i="1"/>
  <c r="D55" i="10" s="1"/>
  <c r="H49" i="1"/>
  <c r="C55" i="10" s="1"/>
  <c r="B55" i="10"/>
  <c r="X48" i="1"/>
  <c r="K54" i="10" s="1"/>
  <c r="L54" i="10" s="1"/>
  <c r="AN28" i="1"/>
  <c r="T51" i="10" s="1"/>
  <c r="AL28" i="1"/>
  <c r="S51" i="10" s="1"/>
  <c r="AJ28" i="1"/>
  <c r="R51" i="10" s="1"/>
  <c r="AH28" i="1"/>
  <c r="Q51" i="10" s="1"/>
  <c r="AF28" i="1"/>
  <c r="P51" i="10" s="1"/>
  <c r="AD28" i="1"/>
  <c r="O51" i="10" s="1"/>
  <c r="AB28" i="1"/>
  <c r="N51" i="10" s="1"/>
  <c r="Z28" i="1"/>
  <c r="M51" i="10" s="1"/>
  <c r="X28" i="1"/>
  <c r="K51" i="10" s="1"/>
  <c r="V28" i="1"/>
  <c r="J51" i="10" s="1"/>
  <c r="T28" i="1"/>
  <c r="I51" i="10" s="1"/>
  <c r="R28" i="1"/>
  <c r="H51" i="10" s="1"/>
  <c r="P28" i="1"/>
  <c r="G51" i="10" s="1"/>
  <c r="N28" i="1"/>
  <c r="F51" i="10" s="1"/>
  <c r="L28" i="1"/>
  <c r="E51" i="10" s="1"/>
  <c r="J28" i="1"/>
  <c r="D51" i="10" s="1"/>
  <c r="H28" i="1"/>
  <c r="C51" i="10" s="1"/>
  <c r="B51" i="10"/>
  <c r="BE23" i="1"/>
  <c r="AD31" i="10" s="1"/>
  <c r="BC23" i="1"/>
  <c r="AC31" i="10" s="1"/>
  <c r="BA23" i="1"/>
  <c r="AB31" i="10" s="1"/>
  <c r="AY23" i="1"/>
  <c r="AA31" i="10" s="1"/>
  <c r="AW23" i="1"/>
  <c r="Z31" i="10" s="1"/>
  <c r="AU23" i="1"/>
  <c r="Y31" i="10" s="1"/>
  <c r="AS23" i="1"/>
  <c r="X31" i="10" s="1"/>
  <c r="AQ23" i="1"/>
  <c r="W31" i="10" s="1"/>
  <c r="AN20" i="1"/>
  <c r="T48" i="10" s="1"/>
  <c r="AL20" i="1"/>
  <c r="S48" i="10" s="1"/>
  <c r="AJ20" i="1"/>
  <c r="R48" i="10" s="1"/>
  <c r="AH20" i="1"/>
  <c r="Q48" i="10" s="1"/>
  <c r="AF20" i="1"/>
  <c r="P48" i="10" s="1"/>
  <c r="AD20" i="1"/>
  <c r="O48" i="10" s="1"/>
  <c r="AB20" i="1"/>
  <c r="N48" i="10" s="1"/>
  <c r="Z20" i="1"/>
  <c r="M48" i="10" s="1"/>
  <c r="X20" i="1"/>
  <c r="K48" i="10" s="1"/>
  <c r="V20" i="1"/>
  <c r="J48" i="10" s="1"/>
  <c r="T20" i="1"/>
  <c r="I48" i="10" s="1"/>
  <c r="R20" i="1"/>
  <c r="H48" i="10" s="1"/>
  <c r="P20" i="1"/>
  <c r="G48" i="10" s="1"/>
  <c r="N20" i="1"/>
  <c r="F48" i="10" s="1"/>
  <c r="L20" i="1"/>
  <c r="E48" i="10" s="1"/>
  <c r="J20" i="1"/>
  <c r="D48" i="10" s="1"/>
  <c r="H20" i="1"/>
  <c r="C48" i="10" s="1"/>
  <c r="B48" i="10"/>
  <c r="AQ8" i="1"/>
  <c r="W37" i="10" s="1"/>
  <c r="AE37" i="10" s="1"/>
  <c r="AQ5" i="1"/>
  <c r="W33" i="10" s="1"/>
  <c r="AE33" i="10" s="1"/>
  <c r="BE15" i="1"/>
  <c r="AD44" i="10" s="1"/>
  <c r="BC15" i="1"/>
  <c r="AC44" i="10" s="1"/>
  <c r="BA15" i="1"/>
  <c r="AB44" i="10" s="1"/>
  <c r="AY15" i="1"/>
  <c r="AA44" i="10" s="1"/>
  <c r="AW15" i="1"/>
  <c r="Z44" i="10" s="1"/>
  <c r="AU15" i="1"/>
  <c r="Y44" i="10" s="1"/>
  <c r="AS15" i="1"/>
  <c r="X44" i="10" s="1"/>
  <c r="AQ15" i="1"/>
  <c r="W44" i="10" s="1"/>
  <c r="AN15" i="1"/>
  <c r="T44" i="10" s="1"/>
  <c r="AL15" i="1"/>
  <c r="S44" i="10" s="1"/>
  <c r="AJ15" i="1"/>
  <c r="R44" i="10" s="1"/>
  <c r="AH15" i="1"/>
  <c r="Q44" i="10" s="1"/>
  <c r="AF15" i="1"/>
  <c r="P44" i="10" s="1"/>
  <c r="AD15" i="1"/>
  <c r="O44" i="10" s="1"/>
  <c r="AB15" i="1"/>
  <c r="N44" i="10" s="1"/>
  <c r="Z15" i="1"/>
  <c r="M44" i="10" s="1"/>
  <c r="X15" i="1"/>
  <c r="K44" i="10" s="1"/>
  <c r="V15" i="1"/>
  <c r="J44" i="10" s="1"/>
  <c r="T15" i="1"/>
  <c r="I44" i="10" s="1"/>
  <c r="R15" i="1"/>
  <c r="H44" i="10" s="1"/>
  <c r="P15" i="1"/>
  <c r="G44" i="10" s="1"/>
  <c r="N15" i="1"/>
  <c r="F44" i="10" s="1"/>
  <c r="L15" i="1"/>
  <c r="E44" i="10" s="1"/>
  <c r="J15" i="1"/>
  <c r="D44" i="10" s="1"/>
  <c r="H15" i="1"/>
  <c r="C44" i="10" s="1"/>
  <c r="B44" i="10"/>
  <c r="BE14" i="1"/>
  <c r="AD43" i="10" s="1"/>
  <c r="BC14" i="1"/>
  <c r="AC43" i="10" s="1"/>
  <c r="BA14" i="1"/>
  <c r="AB43" i="10" s="1"/>
  <c r="AY14" i="1"/>
  <c r="AA43" i="10" s="1"/>
  <c r="AW14" i="1"/>
  <c r="Z43" i="10" s="1"/>
  <c r="AU14" i="1"/>
  <c r="Y43" i="10" s="1"/>
  <c r="AS14" i="1"/>
  <c r="X43" i="10" s="1"/>
  <c r="AQ14" i="1"/>
  <c r="W43" i="10" s="1"/>
  <c r="AN14" i="1"/>
  <c r="T43" i="10" s="1"/>
  <c r="AL14" i="1"/>
  <c r="S43" i="10" s="1"/>
  <c r="AJ14" i="1"/>
  <c r="R43" i="10" s="1"/>
  <c r="AH14" i="1"/>
  <c r="Q43" i="10" s="1"/>
  <c r="AF14" i="1"/>
  <c r="P43" i="10" s="1"/>
  <c r="AD14" i="1"/>
  <c r="O43" i="10" s="1"/>
  <c r="AB14" i="1"/>
  <c r="N43" i="10" s="1"/>
  <c r="Z14" i="1"/>
  <c r="M43" i="10" s="1"/>
  <c r="X14" i="1"/>
  <c r="K43" i="10" s="1"/>
  <c r="V14" i="1"/>
  <c r="J43" i="10" s="1"/>
  <c r="T14" i="1"/>
  <c r="I43" i="10" s="1"/>
  <c r="R14" i="1"/>
  <c r="H43" i="10" s="1"/>
  <c r="P14" i="1"/>
  <c r="G43" i="10" s="1"/>
  <c r="N14" i="1"/>
  <c r="F43" i="10" s="1"/>
  <c r="L14" i="1"/>
  <c r="E43" i="10" s="1"/>
  <c r="J14" i="1"/>
  <c r="D43" i="10" s="1"/>
  <c r="H14" i="1"/>
  <c r="C43" i="10" s="1"/>
  <c r="B43" i="10"/>
  <c r="BE13" i="1"/>
  <c r="AD42" i="10" s="1"/>
  <c r="BC13" i="1"/>
  <c r="AC42" i="10" s="1"/>
  <c r="BA13" i="1"/>
  <c r="AB42" i="10" s="1"/>
  <c r="AY13" i="1"/>
  <c r="AA42" i="10" s="1"/>
  <c r="AW13" i="1"/>
  <c r="Z42" i="10" s="1"/>
  <c r="AU13" i="1"/>
  <c r="Y42" i="10" s="1"/>
  <c r="AS13" i="1"/>
  <c r="X42" i="10" s="1"/>
  <c r="AQ13" i="1"/>
  <c r="W42" i="10" s="1"/>
  <c r="AN13" i="1"/>
  <c r="T42" i="10" s="1"/>
  <c r="AL13" i="1"/>
  <c r="S42" i="10" s="1"/>
  <c r="AJ13" i="1"/>
  <c r="R42" i="10" s="1"/>
  <c r="AH13" i="1"/>
  <c r="Q42" i="10" s="1"/>
  <c r="AF13" i="1"/>
  <c r="P42" i="10" s="1"/>
  <c r="AD13" i="1"/>
  <c r="O42" i="10" s="1"/>
  <c r="AB13" i="1"/>
  <c r="N42" i="10" s="1"/>
  <c r="Z13" i="1"/>
  <c r="M42" i="10" s="1"/>
  <c r="X13" i="1"/>
  <c r="K42" i="10" s="1"/>
  <c r="V13" i="1"/>
  <c r="J42" i="10" s="1"/>
  <c r="T13" i="1"/>
  <c r="I42" i="10" s="1"/>
  <c r="R13" i="1"/>
  <c r="H42" i="10" s="1"/>
  <c r="P13" i="1"/>
  <c r="G42" i="10" s="1"/>
  <c r="N13" i="1"/>
  <c r="F42" i="10" s="1"/>
  <c r="L13" i="1"/>
  <c r="E42" i="10" s="1"/>
  <c r="J13" i="1"/>
  <c r="D42" i="10" s="1"/>
  <c r="H13" i="1"/>
  <c r="C42" i="10" s="1"/>
  <c r="B42" i="10"/>
  <c r="AE31" i="10" l="1"/>
  <c r="AE43" i="10"/>
  <c r="U42" i="10"/>
  <c r="L44" i="10"/>
  <c r="U44" i="10"/>
  <c r="L48" i="10"/>
  <c r="L43" i="10"/>
  <c r="U43" i="10"/>
  <c r="L51" i="10"/>
  <c r="U51" i="10"/>
  <c r="AE42" i="10"/>
  <c r="U48" i="10"/>
  <c r="L42" i="10"/>
  <c r="AE44" i="10"/>
  <c r="L55" i="10"/>
  <c r="J3" i="1"/>
  <c r="D7" i="10" s="1"/>
  <c r="J4" i="1"/>
  <c r="D3" i="10" s="1"/>
  <c r="J5" i="1"/>
  <c r="D33" i="10" s="1"/>
  <c r="J6" i="1"/>
  <c r="D8" i="10" s="1"/>
  <c r="J7" i="1"/>
  <c r="D9" i="10" s="1"/>
  <c r="J9" i="1"/>
  <c r="D4" i="10" s="1"/>
  <c r="J10" i="1"/>
  <c r="D28" i="10" s="1"/>
  <c r="J11" i="1"/>
  <c r="D6" i="10" s="1"/>
  <c r="J12" i="1"/>
  <c r="D41" i="10" s="1"/>
  <c r="J16" i="1"/>
  <c r="D32" i="10" s="1"/>
  <c r="J17" i="1"/>
  <c r="D39" i="10" s="1"/>
  <c r="J18" i="1"/>
  <c r="D47" i="10" s="1"/>
  <c r="J19" i="1"/>
  <c r="D10" i="10" s="1"/>
  <c r="J21" i="1"/>
  <c r="D11" i="10" s="1"/>
  <c r="J22" i="1"/>
  <c r="D35" i="10" s="1"/>
  <c r="J24" i="1"/>
  <c r="D36" i="10" s="1"/>
  <c r="J25" i="1"/>
  <c r="D34" i="10" s="1"/>
  <c r="J26" i="1"/>
  <c r="D49" i="10" s="1"/>
  <c r="J27" i="1"/>
  <c r="D50" i="10" s="1"/>
  <c r="J29" i="1"/>
  <c r="D12" i="10" s="1"/>
  <c r="J30" i="1"/>
  <c r="D13" i="10" s="1"/>
  <c r="J31" i="1"/>
  <c r="D5" i="10" s="1"/>
  <c r="J32" i="1"/>
  <c r="D45" i="10" s="1"/>
  <c r="J33" i="1"/>
  <c r="D29" i="10" s="1"/>
  <c r="J34" i="1"/>
  <c r="D14" i="10" s="1"/>
  <c r="J35" i="1"/>
  <c r="D30" i="10" s="1"/>
  <c r="J36" i="1"/>
  <c r="D40" i="10" s="1"/>
  <c r="J37" i="1"/>
  <c r="D52" i="10" s="1"/>
  <c r="J38" i="1"/>
  <c r="D46" i="10" s="1"/>
  <c r="J39" i="1"/>
  <c r="D56" i="10" s="1"/>
  <c r="J40" i="1"/>
  <c r="D15" i="10" s="1"/>
  <c r="J41" i="1"/>
  <c r="D16" i="10" s="1"/>
  <c r="J42" i="1"/>
  <c r="D17" i="10" s="1"/>
  <c r="J43" i="1"/>
  <c r="D38" i="10" s="1"/>
  <c r="J44" i="1"/>
  <c r="D18" i="10" s="1"/>
  <c r="J45" i="1"/>
  <c r="D19" i="10" s="1"/>
  <c r="J46" i="1"/>
  <c r="D20" i="10" s="1"/>
  <c r="J47" i="1"/>
  <c r="D53" i="10" s="1"/>
  <c r="J50" i="1"/>
  <c r="D21" i="10" s="1"/>
  <c r="J51" i="1"/>
  <c r="D22" i="10" s="1"/>
  <c r="J53" i="1"/>
  <c r="D24" i="10" s="1"/>
  <c r="J55" i="1"/>
  <c r="D26" i="10" s="1"/>
  <c r="J56" i="1"/>
  <c r="D27" i="10" s="1"/>
  <c r="B47" i="10"/>
  <c r="D13" i="4" l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D18" i="4" l="1"/>
  <c r="D39" i="4"/>
  <c r="D37" i="4"/>
  <c r="D44" i="4"/>
  <c r="D45" i="4"/>
  <c r="D35" i="4"/>
  <c r="D34" i="4"/>
  <c r="D22" i="4"/>
  <c r="D29" i="4"/>
  <c r="D23" i="4"/>
  <c r="D8" i="4"/>
  <c r="D51" i="4"/>
  <c r="D26" i="4"/>
  <c r="D10" i="4"/>
  <c r="D11" i="4"/>
  <c r="D30" i="4"/>
  <c r="D24" i="4"/>
  <c r="D38" i="4"/>
  <c r="D4" i="4"/>
  <c r="D56" i="4"/>
  <c r="D25" i="4"/>
  <c r="D27" i="4"/>
  <c r="D28" i="4"/>
  <c r="D19" i="4"/>
  <c r="D6" i="4"/>
  <c r="D36" i="4"/>
  <c r="D41" i="4"/>
  <c r="D53" i="4"/>
  <c r="D54" i="4"/>
  <c r="D55" i="4"/>
  <c r="D14" i="4"/>
  <c r="D7" i="4"/>
  <c r="D15" i="4"/>
  <c r="D21" i="4"/>
  <c r="D48" i="4"/>
  <c r="D43" i="4"/>
  <c r="D47" i="4"/>
  <c r="D52" i="4"/>
  <c r="D49" i="4"/>
  <c r="D40" i="4"/>
  <c r="D17" i="4"/>
  <c r="D42" i="4"/>
  <c r="D9" i="4"/>
  <c r="D20" i="4"/>
  <c r="D3" i="4"/>
  <c r="D33" i="4"/>
  <c r="D5" i="4"/>
  <c r="D31" i="4"/>
  <c r="D12" i="4"/>
  <c r="D16" i="4"/>
  <c r="D32" i="4"/>
  <c r="D50" i="4"/>
  <c r="D46" i="4"/>
  <c r="L40" i="4" l="1"/>
  <c r="L14" i="4"/>
  <c r="BE4" i="1"/>
  <c r="AD3" i="10" s="1"/>
  <c r="BE7" i="1"/>
  <c r="AD9" i="10" s="1"/>
  <c r="BE9" i="1"/>
  <c r="AD4" i="10" s="1"/>
  <c r="BE10" i="1"/>
  <c r="AD28" i="10" s="1"/>
  <c r="BE11" i="1"/>
  <c r="AD6" i="10" s="1"/>
  <c r="BE12" i="1"/>
  <c r="AD41" i="10" s="1"/>
  <c r="BE16" i="1"/>
  <c r="AD32" i="10" s="1"/>
  <c r="BE17" i="1"/>
  <c r="AD39" i="10" s="1"/>
  <c r="BE18" i="1"/>
  <c r="AD47" i="10" s="1"/>
  <c r="BE19" i="1"/>
  <c r="AD10" i="10" s="1"/>
  <c r="BE20" i="1"/>
  <c r="AD48" i="10" s="1"/>
  <c r="BE21" i="1"/>
  <c r="AD11" i="10" s="1"/>
  <c r="BE22" i="1"/>
  <c r="AD35" i="10" s="1"/>
  <c r="BE24" i="1"/>
  <c r="AD36" i="10" s="1"/>
  <c r="BE25" i="1"/>
  <c r="AD34" i="10" s="1"/>
  <c r="BE26" i="1"/>
  <c r="AD49" i="10" s="1"/>
  <c r="BE27" i="1"/>
  <c r="AD50" i="10" s="1"/>
  <c r="BE28" i="1"/>
  <c r="AD51" i="10" s="1"/>
  <c r="BE29" i="1"/>
  <c r="AD12" i="10" s="1"/>
  <c r="BE30" i="1"/>
  <c r="AD13" i="10" s="1"/>
  <c r="BE31" i="1"/>
  <c r="AD5" i="10" s="1"/>
  <c r="BE32" i="1"/>
  <c r="AD45" i="10" s="1"/>
  <c r="BE33" i="1"/>
  <c r="AD29" i="10" s="1"/>
  <c r="BE34" i="1"/>
  <c r="AD14" i="10" s="1"/>
  <c r="BE35" i="1"/>
  <c r="AD30" i="10" s="1"/>
  <c r="BE36" i="1"/>
  <c r="AD40" i="10" s="1"/>
  <c r="BE37" i="1"/>
  <c r="AD52" i="10" s="1"/>
  <c r="BE38" i="1"/>
  <c r="AD46" i="10" s="1"/>
  <c r="BE39" i="1"/>
  <c r="AD56" i="10" s="1"/>
  <c r="BE40" i="1"/>
  <c r="AD15" i="10" s="1"/>
  <c r="BE41" i="1"/>
  <c r="AD16" i="10" s="1"/>
  <c r="BE42" i="1"/>
  <c r="AD17" i="10" s="1"/>
  <c r="BE43" i="1"/>
  <c r="AD38" i="10" s="1"/>
  <c r="BE44" i="1"/>
  <c r="AD18" i="10" s="1"/>
  <c r="BE45" i="1"/>
  <c r="AD19" i="10" s="1"/>
  <c r="BE46" i="1"/>
  <c r="AD20" i="10" s="1"/>
  <c r="BE47" i="1"/>
  <c r="AD53" i="10" s="1"/>
  <c r="BE48" i="1"/>
  <c r="AD54" i="10" s="1"/>
  <c r="BE49" i="1"/>
  <c r="AD55" i="10" s="1"/>
  <c r="BE50" i="1"/>
  <c r="AD21" i="10" s="1"/>
  <c r="BE51" i="1"/>
  <c r="AD22" i="10" s="1"/>
  <c r="BE52" i="1"/>
  <c r="AD23" i="10" s="1"/>
  <c r="BE53" i="1"/>
  <c r="AD24" i="10" s="1"/>
  <c r="BE54" i="1"/>
  <c r="AD25" i="10" s="1"/>
  <c r="BE55" i="1"/>
  <c r="AD26" i="10" s="1"/>
  <c r="BE56" i="1"/>
  <c r="AD27" i="10" s="1"/>
  <c r="BC4" i="1"/>
  <c r="AC3" i="10" s="1"/>
  <c r="BC7" i="1"/>
  <c r="AC9" i="10" s="1"/>
  <c r="BC9" i="1"/>
  <c r="AC4" i="10" s="1"/>
  <c r="BC10" i="1"/>
  <c r="AC28" i="10" s="1"/>
  <c r="BC11" i="1"/>
  <c r="AC6" i="10" s="1"/>
  <c r="BC12" i="1"/>
  <c r="AC41" i="10" s="1"/>
  <c r="BC16" i="1"/>
  <c r="AC32" i="10" s="1"/>
  <c r="BC17" i="1"/>
  <c r="AC39" i="10" s="1"/>
  <c r="BC18" i="1"/>
  <c r="AC47" i="10" s="1"/>
  <c r="BC19" i="1"/>
  <c r="AC10" i="10" s="1"/>
  <c r="BC20" i="1"/>
  <c r="AC48" i="10" s="1"/>
  <c r="BC21" i="1"/>
  <c r="AC11" i="10" s="1"/>
  <c r="BC22" i="1"/>
  <c r="AC35" i="10" s="1"/>
  <c r="BC24" i="1"/>
  <c r="AC36" i="10" s="1"/>
  <c r="BC25" i="1"/>
  <c r="AC34" i="10" s="1"/>
  <c r="BC26" i="1"/>
  <c r="AC49" i="10" s="1"/>
  <c r="BC27" i="1"/>
  <c r="AC50" i="10" s="1"/>
  <c r="BC28" i="1"/>
  <c r="AC51" i="10" s="1"/>
  <c r="BC29" i="1"/>
  <c r="AC12" i="10" s="1"/>
  <c r="BC30" i="1"/>
  <c r="AC13" i="10" s="1"/>
  <c r="BC31" i="1"/>
  <c r="AC5" i="10" s="1"/>
  <c r="BC32" i="1"/>
  <c r="AC45" i="10" s="1"/>
  <c r="BC33" i="1"/>
  <c r="AC29" i="10" s="1"/>
  <c r="BC34" i="1"/>
  <c r="AC14" i="10" s="1"/>
  <c r="BC35" i="1"/>
  <c r="AC30" i="10" s="1"/>
  <c r="BC36" i="1"/>
  <c r="AC40" i="10" s="1"/>
  <c r="BC37" i="1"/>
  <c r="AC52" i="10" s="1"/>
  <c r="BC38" i="1"/>
  <c r="AC46" i="10" s="1"/>
  <c r="BC39" i="1"/>
  <c r="AC56" i="10" s="1"/>
  <c r="BC40" i="1"/>
  <c r="AC15" i="10" s="1"/>
  <c r="BC41" i="1"/>
  <c r="AC16" i="10" s="1"/>
  <c r="BC42" i="1"/>
  <c r="AC17" i="10" s="1"/>
  <c r="BC43" i="1"/>
  <c r="AC38" i="10" s="1"/>
  <c r="BC44" i="1"/>
  <c r="AC18" i="10" s="1"/>
  <c r="BC45" i="1"/>
  <c r="AC19" i="10" s="1"/>
  <c r="BC46" i="1"/>
  <c r="AC20" i="10" s="1"/>
  <c r="BC47" i="1"/>
  <c r="AC53" i="10" s="1"/>
  <c r="BC48" i="1"/>
  <c r="AC54" i="10" s="1"/>
  <c r="BC49" i="1"/>
  <c r="AC55" i="10" s="1"/>
  <c r="BC50" i="1"/>
  <c r="AC21" i="10" s="1"/>
  <c r="BC51" i="1"/>
  <c r="AC22" i="10" s="1"/>
  <c r="BC52" i="1"/>
  <c r="AC23" i="10" s="1"/>
  <c r="BC53" i="1"/>
  <c r="AC24" i="10" s="1"/>
  <c r="BC54" i="1"/>
  <c r="AC25" i="10" s="1"/>
  <c r="BC55" i="1"/>
  <c r="AC26" i="10" s="1"/>
  <c r="BC56" i="1"/>
  <c r="AC27" i="10" s="1"/>
  <c r="BA4" i="1"/>
  <c r="AB3" i="10" s="1"/>
  <c r="BA7" i="1"/>
  <c r="AB9" i="10" s="1"/>
  <c r="BA9" i="1"/>
  <c r="AB4" i="10" s="1"/>
  <c r="BA10" i="1"/>
  <c r="AB28" i="10" s="1"/>
  <c r="BA11" i="1"/>
  <c r="AB6" i="10" s="1"/>
  <c r="BA12" i="1"/>
  <c r="AB41" i="10" s="1"/>
  <c r="BA16" i="1"/>
  <c r="AB32" i="10" s="1"/>
  <c r="BA17" i="1"/>
  <c r="AB39" i="10" s="1"/>
  <c r="BA18" i="1"/>
  <c r="AB47" i="10" s="1"/>
  <c r="BA19" i="1"/>
  <c r="AB10" i="10" s="1"/>
  <c r="BA20" i="1"/>
  <c r="AB48" i="10" s="1"/>
  <c r="BA21" i="1"/>
  <c r="AB11" i="10" s="1"/>
  <c r="BA22" i="1"/>
  <c r="AB35" i="10" s="1"/>
  <c r="BA24" i="1"/>
  <c r="AB36" i="10" s="1"/>
  <c r="BA25" i="1"/>
  <c r="AB34" i="10" s="1"/>
  <c r="BA26" i="1"/>
  <c r="AB49" i="10" s="1"/>
  <c r="BA27" i="1"/>
  <c r="AB50" i="10" s="1"/>
  <c r="BA28" i="1"/>
  <c r="AB51" i="10" s="1"/>
  <c r="BA29" i="1"/>
  <c r="AB12" i="10" s="1"/>
  <c r="BA30" i="1"/>
  <c r="AB13" i="10" s="1"/>
  <c r="BA31" i="1"/>
  <c r="AB5" i="10" s="1"/>
  <c r="BA32" i="1"/>
  <c r="AB45" i="10" s="1"/>
  <c r="BA33" i="1"/>
  <c r="AB29" i="10" s="1"/>
  <c r="BA34" i="1"/>
  <c r="AB14" i="10" s="1"/>
  <c r="BA35" i="1"/>
  <c r="AB30" i="10" s="1"/>
  <c r="BA36" i="1"/>
  <c r="AB40" i="10" s="1"/>
  <c r="BA37" i="1"/>
  <c r="AB52" i="10" s="1"/>
  <c r="BA38" i="1"/>
  <c r="AB46" i="10" s="1"/>
  <c r="BA39" i="1"/>
  <c r="AB56" i="10" s="1"/>
  <c r="BA40" i="1"/>
  <c r="AB15" i="10" s="1"/>
  <c r="BA41" i="1"/>
  <c r="AB16" i="10" s="1"/>
  <c r="BA42" i="1"/>
  <c r="AB17" i="10" s="1"/>
  <c r="BA43" i="1"/>
  <c r="AB38" i="10" s="1"/>
  <c r="BA44" i="1"/>
  <c r="AB18" i="10" s="1"/>
  <c r="BA45" i="1"/>
  <c r="AB19" i="10" s="1"/>
  <c r="BA46" i="1"/>
  <c r="AB20" i="10" s="1"/>
  <c r="BA47" i="1"/>
  <c r="AB53" i="10" s="1"/>
  <c r="BA48" i="1"/>
  <c r="AB54" i="10" s="1"/>
  <c r="BA49" i="1"/>
  <c r="AB55" i="10" s="1"/>
  <c r="BA50" i="1"/>
  <c r="AB21" i="10" s="1"/>
  <c r="BA51" i="1"/>
  <c r="AB22" i="10" s="1"/>
  <c r="BA52" i="1"/>
  <c r="AB23" i="10" s="1"/>
  <c r="BA53" i="1"/>
  <c r="AB24" i="10" s="1"/>
  <c r="BA54" i="1"/>
  <c r="AB25" i="10" s="1"/>
  <c r="BA55" i="1"/>
  <c r="AB26" i="10" s="1"/>
  <c r="BA56" i="1"/>
  <c r="AB27" i="10" s="1"/>
  <c r="AY4" i="1"/>
  <c r="AA3" i="10" s="1"/>
  <c r="AY7" i="1"/>
  <c r="AA9" i="10" s="1"/>
  <c r="AY9" i="1"/>
  <c r="AA4" i="10" s="1"/>
  <c r="AY10" i="1"/>
  <c r="AA28" i="10" s="1"/>
  <c r="AY11" i="1"/>
  <c r="AA6" i="10" s="1"/>
  <c r="AY12" i="1"/>
  <c r="AA41" i="10" s="1"/>
  <c r="AY16" i="1"/>
  <c r="AA32" i="10" s="1"/>
  <c r="AY17" i="1"/>
  <c r="AA39" i="10" s="1"/>
  <c r="AY18" i="1"/>
  <c r="AA47" i="10" s="1"/>
  <c r="AY19" i="1"/>
  <c r="AA10" i="10" s="1"/>
  <c r="AY20" i="1"/>
  <c r="AA48" i="10" s="1"/>
  <c r="AY21" i="1"/>
  <c r="AA11" i="10" s="1"/>
  <c r="AY22" i="1"/>
  <c r="AA35" i="10" s="1"/>
  <c r="AY24" i="1"/>
  <c r="AA36" i="10" s="1"/>
  <c r="AY25" i="1"/>
  <c r="AA34" i="10" s="1"/>
  <c r="AY26" i="1"/>
  <c r="AA49" i="10" s="1"/>
  <c r="AY27" i="1"/>
  <c r="AA50" i="10" s="1"/>
  <c r="AY28" i="1"/>
  <c r="AA51" i="10" s="1"/>
  <c r="AY29" i="1"/>
  <c r="AA12" i="10" s="1"/>
  <c r="AY30" i="1"/>
  <c r="AA13" i="10" s="1"/>
  <c r="AY31" i="1"/>
  <c r="AA5" i="10" s="1"/>
  <c r="AY32" i="1"/>
  <c r="AA45" i="10" s="1"/>
  <c r="AY33" i="1"/>
  <c r="AA29" i="10" s="1"/>
  <c r="AY34" i="1"/>
  <c r="AA14" i="10" s="1"/>
  <c r="AY35" i="1"/>
  <c r="AA30" i="10" s="1"/>
  <c r="AY36" i="1"/>
  <c r="AA40" i="10" s="1"/>
  <c r="AY37" i="1"/>
  <c r="AA52" i="10" s="1"/>
  <c r="AY38" i="1"/>
  <c r="AA46" i="10" s="1"/>
  <c r="AY39" i="1"/>
  <c r="AA56" i="10" s="1"/>
  <c r="AY40" i="1"/>
  <c r="AA15" i="10" s="1"/>
  <c r="AY41" i="1"/>
  <c r="AA16" i="10" s="1"/>
  <c r="AY42" i="1"/>
  <c r="AA17" i="10" s="1"/>
  <c r="AY43" i="1"/>
  <c r="AA38" i="10" s="1"/>
  <c r="AY44" i="1"/>
  <c r="AA18" i="10" s="1"/>
  <c r="AY45" i="1"/>
  <c r="AA19" i="10" s="1"/>
  <c r="AY46" i="1"/>
  <c r="AA20" i="10" s="1"/>
  <c r="AY47" i="1"/>
  <c r="AA53" i="10" s="1"/>
  <c r="AY48" i="1"/>
  <c r="AA54" i="10" s="1"/>
  <c r="AY49" i="1"/>
  <c r="AA55" i="10" s="1"/>
  <c r="AY50" i="1"/>
  <c r="AA21" i="10" s="1"/>
  <c r="AY51" i="1"/>
  <c r="AA22" i="10" s="1"/>
  <c r="AY52" i="1"/>
  <c r="AA23" i="10" s="1"/>
  <c r="AY53" i="1"/>
  <c r="AA24" i="10" s="1"/>
  <c r="AY54" i="1"/>
  <c r="AA25" i="10" s="1"/>
  <c r="AY55" i="1"/>
  <c r="AA26" i="10" s="1"/>
  <c r="AY56" i="1"/>
  <c r="AA27" i="10" s="1"/>
  <c r="AW40" i="1"/>
  <c r="Z15" i="10" s="1"/>
  <c r="AW41" i="1"/>
  <c r="Z16" i="10" s="1"/>
  <c r="AW42" i="1"/>
  <c r="Z17" i="10" s="1"/>
  <c r="AW43" i="1"/>
  <c r="Z38" i="10" s="1"/>
  <c r="AW44" i="1"/>
  <c r="Z18" i="10" s="1"/>
  <c r="AW45" i="1"/>
  <c r="Z19" i="10" s="1"/>
  <c r="AW46" i="1"/>
  <c r="Z20" i="10" s="1"/>
  <c r="AW47" i="1"/>
  <c r="Z53" i="10" s="1"/>
  <c r="AW48" i="1"/>
  <c r="Z54" i="10" s="1"/>
  <c r="AW49" i="1"/>
  <c r="Z55" i="10" s="1"/>
  <c r="AW50" i="1"/>
  <c r="Z21" i="10" s="1"/>
  <c r="AW51" i="1"/>
  <c r="Z22" i="10" s="1"/>
  <c r="AW52" i="1"/>
  <c r="Z23" i="10" s="1"/>
  <c r="AW53" i="1"/>
  <c r="Z24" i="10" s="1"/>
  <c r="AW54" i="1"/>
  <c r="Z25" i="10" s="1"/>
  <c r="AW55" i="1"/>
  <c r="Z26" i="10" s="1"/>
  <c r="AW56" i="1"/>
  <c r="Z27" i="10" s="1"/>
  <c r="AW38" i="1"/>
  <c r="Z46" i="10" s="1"/>
  <c r="AW39" i="1"/>
  <c r="Z56" i="10" s="1"/>
  <c r="AW4" i="1"/>
  <c r="Z3" i="10" s="1"/>
  <c r="AW7" i="1"/>
  <c r="Z9" i="10" s="1"/>
  <c r="AW9" i="1"/>
  <c r="Z4" i="10" s="1"/>
  <c r="AW10" i="1"/>
  <c r="Z28" i="10" s="1"/>
  <c r="AW11" i="1"/>
  <c r="Z6" i="10" s="1"/>
  <c r="AW12" i="1"/>
  <c r="Z41" i="10" s="1"/>
  <c r="AW16" i="1"/>
  <c r="Z32" i="10" s="1"/>
  <c r="AW17" i="1"/>
  <c r="Z39" i="10" s="1"/>
  <c r="AW18" i="1"/>
  <c r="Z47" i="10" s="1"/>
  <c r="AW19" i="1"/>
  <c r="Z10" i="10" s="1"/>
  <c r="AW20" i="1"/>
  <c r="Z48" i="10" s="1"/>
  <c r="AW21" i="1"/>
  <c r="Z11" i="10" s="1"/>
  <c r="AW22" i="1"/>
  <c r="Z35" i="10" s="1"/>
  <c r="AW24" i="1"/>
  <c r="Z36" i="10" s="1"/>
  <c r="AW25" i="1"/>
  <c r="Z34" i="10" s="1"/>
  <c r="AW26" i="1"/>
  <c r="Z49" i="10" s="1"/>
  <c r="AW27" i="1"/>
  <c r="Z50" i="10" s="1"/>
  <c r="AW28" i="1"/>
  <c r="Z51" i="10" s="1"/>
  <c r="AW29" i="1"/>
  <c r="Z12" i="10" s="1"/>
  <c r="AW30" i="1"/>
  <c r="Z13" i="10" s="1"/>
  <c r="AW31" i="1"/>
  <c r="Z5" i="10" s="1"/>
  <c r="AW32" i="1"/>
  <c r="Z45" i="10" s="1"/>
  <c r="AW33" i="1"/>
  <c r="Z29" i="10" s="1"/>
  <c r="AW34" i="1"/>
  <c r="Z14" i="10" s="1"/>
  <c r="AW35" i="1"/>
  <c r="Z30" i="10" s="1"/>
  <c r="AW36" i="1"/>
  <c r="Z40" i="10" s="1"/>
  <c r="AW37" i="1"/>
  <c r="Z52" i="10" s="1"/>
  <c r="AU4" i="1"/>
  <c r="Y3" i="10" s="1"/>
  <c r="AU7" i="1"/>
  <c r="Y9" i="10" s="1"/>
  <c r="AU9" i="1"/>
  <c r="Y4" i="10" s="1"/>
  <c r="AU10" i="1"/>
  <c r="Y28" i="10" s="1"/>
  <c r="AU11" i="1"/>
  <c r="Y6" i="10" s="1"/>
  <c r="AU12" i="1"/>
  <c r="Y41" i="10" s="1"/>
  <c r="AU16" i="1"/>
  <c r="Y32" i="10" s="1"/>
  <c r="AU17" i="1"/>
  <c r="Y39" i="10" s="1"/>
  <c r="AU18" i="1"/>
  <c r="Y47" i="10" s="1"/>
  <c r="AU19" i="1"/>
  <c r="Y10" i="10" s="1"/>
  <c r="AU20" i="1"/>
  <c r="Y48" i="10" s="1"/>
  <c r="AU21" i="1"/>
  <c r="Y11" i="10" s="1"/>
  <c r="AU22" i="1"/>
  <c r="Y35" i="10" s="1"/>
  <c r="AU24" i="1"/>
  <c r="Y36" i="10" s="1"/>
  <c r="AU25" i="1"/>
  <c r="Y34" i="10" s="1"/>
  <c r="AU26" i="1"/>
  <c r="Y49" i="10" s="1"/>
  <c r="AU27" i="1"/>
  <c r="Y50" i="10" s="1"/>
  <c r="AU28" i="1"/>
  <c r="Y51" i="10" s="1"/>
  <c r="AU29" i="1"/>
  <c r="Y12" i="10" s="1"/>
  <c r="AU30" i="1"/>
  <c r="Y13" i="10" s="1"/>
  <c r="AU31" i="1"/>
  <c r="Y5" i="10" s="1"/>
  <c r="AU32" i="1"/>
  <c r="Y45" i="10" s="1"/>
  <c r="AU33" i="1"/>
  <c r="Y29" i="10" s="1"/>
  <c r="AU34" i="1"/>
  <c r="Y14" i="10" s="1"/>
  <c r="AU35" i="1"/>
  <c r="Y30" i="10" s="1"/>
  <c r="AU36" i="1"/>
  <c r="Y40" i="10" s="1"/>
  <c r="AU37" i="1"/>
  <c r="Y52" i="10" s="1"/>
  <c r="AU38" i="1"/>
  <c r="Y46" i="10" s="1"/>
  <c r="AU39" i="1"/>
  <c r="Y56" i="10" s="1"/>
  <c r="AU40" i="1"/>
  <c r="Y15" i="10" s="1"/>
  <c r="AU41" i="1"/>
  <c r="Y16" i="10" s="1"/>
  <c r="AU42" i="1"/>
  <c r="Y17" i="10" s="1"/>
  <c r="AU43" i="1"/>
  <c r="Y38" i="10" s="1"/>
  <c r="AU44" i="1"/>
  <c r="Y18" i="10" s="1"/>
  <c r="AU45" i="1"/>
  <c r="Y19" i="10" s="1"/>
  <c r="AU46" i="1"/>
  <c r="Y20" i="10" s="1"/>
  <c r="AU47" i="1"/>
  <c r="Y53" i="10" s="1"/>
  <c r="AU48" i="1"/>
  <c r="Y54" i="10" s="1"/>
  <c r="AU49" i="1"/>
  <c r="Y55" i="10" s="1"/>
  <c r="AU50" i="1"/>
  <c r="Y21" i="10" s="1"/>
  <c r="AU51" i="1"/>
  <c r="Y22" i="10" s="1"/>
  <c r="AU52" i="1"/>
  <c r="Y23" i="10" s="1"/>
  <c r="AU53" i="1"/>
  <c r="Y24" i="10" s="1"/>
  <c r="AU54" i="1"/>
  <c r="Y25" i="10" s="1"/>
  <c r="AU55" i="1"/>
  <c r="Y26" i="10" s="1"/>
  <c r="AU56" i="1"/>
  <c r="Y27" i="10" s="1"/>
  <c r="AS4" i="1"/>
  <c r="X3" i="10" s="1"/>
  <c r="AS7" i="1"/>
  <c r="X9" i="10" s="1"/>
  <c r="AS9" i="1"/>
  <c r="X4" i="10" s="1"/>
  <c r="AS10" i="1"/>
  <c r="X28" i="10" s="1"/>
  <c r="AS11" i="1"/>
  <c r="X6" i="10" s="1"/>
  <c r="AS12" i="1"/>
  <c r="X41" i="10" s="1"/>
  <c r="AS16" i="1"/>
  <c r="X32" i="10" s="1"/>
  <c r="AS17" i="1"/>
  <c r="X39" i="10" s="1"/>
  <c r="AS18" i="1"/>
  <c r="X47" i="10" s="1"/>
  <c r="AS19" i="1"/>
  <c r="X10" i="10" s="1"/>
  <c r="AS20" i="1"/>
  <c r="X48" i="10" s="1"/>
  <c r="AS21" i="1"/>
  <c r="X11" i="10" s="1"/>
  <c r="AS22" i="1"/>
  <c r="X35" i="10" s="1"/>
  <c r="AS24" i="1"/>
  <c r="X36" i="10" s="1"/>
  <c r="AS25" i="1"/>
  <c r="X34" i="10" s="1"/>
  <c r="AS26" i="1"/>
  <c r="X49" i="10" s="1"/>
  <c r="AS27" i="1"/>
  <c r="X50" i="10" s="1"/>
  <c r="AS28" i="1"/>
  <c r="X51" i="10" s="1"/>
  <c r="AS29" i="1"/>
  <c r="X12" i="10" s="1"/>
  <c r="AS30" i="1"/>
  <c r="X13" i="10" s="1"/>
  <c r="AS31" i="1"/>
  <c r="X5" i="10" s="1"/>
  <c r="AS32" i="1"/>
  <c r="X45" i="10" s="1"/>
  <c r="AS33" i="1"/>
  <c r="X29" i="10" s="1"/>
  <c r="AS34" i="1"/>
  <c r="X14" i="10" s="1"/>
  <c r="AS35" i="1"/>
  <c r="X30" i="10" s="1"/>
  <c r="AS36" i="1"/>
  <c r="X40" i="10" s="1"/>
  <c r="AS37" i="1"/>
  <c r="X52" i="10" s="1"/>
  <c r="AS38" i="1"/>
  <c r="X46" i="10" s="1"/>
  <c r="AS39" i="1"/>
  <c r="X56" i="10" s="1"/>
  <c r="AS40" i="1"/>
  <c r="X15" i="10" s="1"/>
  <c r="AS41" i="1"/>
  <c r="X16" i="10" s="1"/>
  <c r="AS42" i="1"/>
  <c r="X17" i="10" s="1"/>
  <c r="AS43" i="1"/>
  <c r="X38" i="10" s="1"/>
  <c r="AS44" i="1"/>
  <c r="X18" i="10" s="1"/>
  <c r="AS45" i="1"/>
  <c r="X19" i="10" s="1"/>
  <c r="AS46" i="1"/>
  <c r="X20" i="10" s="1"/>
  <c r="AS47" i="1"/>
  <c r="X53" i="10" s="1"/>
  <c r="AS48" i="1"/>
  <c r="X54" i="10" s="1"/>
  <c r="AS49" i="1"/>
  <c r="X55" i="10" s="1"/>
  <c r="AS50" i="1"/>
  <c r="X21" i="10" s="1"/>
  <c r="AS51" i="1"/>
  <c r="X22" i="10" s="1"/>
  <c r="AS52" i="1"/>
  <c r="X23" i="10" s="1"/>
  <c r="AS53" i="1"/>
  <c r="X24" i="10" s="1"/>
  <c r="AS54" i="1"/>
  <c r="X25" i="10" s="1"/>
  <c r="AS55" i="1"/>
  <c r="X26" i="10" s="1"/>
  <c r="AS56" i="1"/>
  <c r="X27" i="10" s="1"/>
  <c r="AQ48" i="1"/>
  <c r="W54" i="10" s="1"/>
  <c r="AQ49" i="1"/>
  <c r="W55" i="10" s="1"/>
  <c r="AQ50" i="1"/>
  <c r="W21" i="10" s="1"/>
  <c r="AQ51" i="1"/>
  <c r="W22" i="10" s="1"/>
  <c r="AQ52" i="1"/>
  <c r="W23" i="10" s="1"/>
  <c r="AQ53" i="1"/>
  <c r="W24" i="10" s="1"/>
  <c r="AQ54" i="1"/>
  <c r="W25" i="10" s="1"/>
  <c r="AQ55" i="1"/>
  <c r="W26" i="10" s="1"/>
  <c r="AQ56" i="1"/>
  <c r="W27" i="10" s="1"/>
  <c r="AQ38" i="1"/>
  <c r="W46" i="10" s="1"/>
  <c r="AQ39" i="1"/>
  <c r="W56" i="10" s="1"/>
  <c r="AQ40" i="1"/>
  <c r="W15" i="10" s="1"/>
  <c r="AQ41" i="1"/>
  <c r="W16" i="10" s="1"/>
  <c r="AQ42" i="1"/>
  <c r="W17" i="10" s="1"/>
  <c r="AQ43" i="1"/>
  <c r="W38" i="10" s="1"/>
  <c r="AQ44" i="1"/>
  <c r="W18" i="10" s="1"/>
  <c r="AQ45" i="1"/>
  <c r="W19" i="10" s="1"/>
  <c r="AQ46" i="1"/>
  <c r="W20" i="10" s="1"/>
  <c r="AQ47" i="1"/>
  <c r="W53" i="10" s="1"/>
  <c r="AQ9" i="1"/>
  <c r="W4" i="10" s="1"/>
  <c r="AQ10" i="1"/>
  <c r="W28" i="10" s="1"/>
  <c r="AQ11" i="1"/>
  <c r="W6" i="10" s="1"/>
  <c r="AQ12" i="1"/>
  <c r="W41" i="10" s="1"/>
  <c r="AQ16" i="1"/>
  <c r="W32" i="10" s="1"/>
  <c r="AQ17" i="1"/>
  <c r="W39" i="10" s="1"/>
  <c r="AQ18" i="1"/>
  <c r="W47" i="10" s="1"/>
  <c r="AQ19" i="1"/>
  <c r="W10" i="10" s="1"/>
  <c r="AQ20" i="1"/>
  <c r="W48" i="10" s="1"/>
  <c r="AQ21" i="1"/>
  <c r="W11" i="10" s="1"/>
  <c r="AQ22" i="1"/>
  <c r="W35" i="10" s="1"/>
  <c r="AQ24" i="1"/>
  <c r="W36" i="10" s="1"/>
  <c r="AQ25" i="1"/>
  <c r="W34" i="10" s="1"/>
  <c r="AQ26" i="1"/>
  <c r="W49" i="10" s="1"/>
  <c r="AQ27" i="1"/>
  <c r="W50" i="10" s="1"/>
  <c r="AQ28" i="1"/>
  <c r="W51" i="10" s="1"/>
  <c r="AQ29" i="1"/>
  <c r="W12" i="10" s="1"/>
  <c r="AQ30" i="1"/>
  <c r="W13" i="10" s="1"/>
  <c r="AQ31" i="1"/>
  <c r="W5" i="10" s="1"/>
  <c r="AQ32" i="1"/>
  <c r="W45" i="10" s="1"/>
  <c r="AQ33" i="1"/>
  <c r="W29" i="10" s="1"/>
  <c r="AQ34" i="1"/>
  <c r="W14" i="10" s="1"/>
  <c r="AQ35" i="1"/>
  <c r="W30" i="10" s="1"/>
  <c r="AQ36" i="1"/>
  <c r="W40" i="10" s="1"/>
  <c r="AQ37" i="1"/>
  <c r="W52" i="10" s="1"/>
  <c r="AN4" i="1"/>
  <c r="T3" i="10" s="1"/>
  <c r="AN5" i="1"/>
  <c r="T33" i="10" s="1"/>
  <c r="AN6" i="1"/>
  <c r="T8" i="10" s="1"/>
  <c r="AN7" i="1"/>
  <c r="T9" i="10" s="1"/>
  <c r="AN8" i="1"/>
  <c r="T37" i="10" s="1"/>
  <c r="AN9" i="1"/>
  <c r="T4" i="10" s="1"/>
  <c r="AN10" i="1"/>
  <c r="T28" i="10" s="1"/>
  <c r="AN11" i="1"/>
  <c r="T6" i="10" s="1"/>
  <c r="AN12" i="1"/>
  <c r="T41" i="10" s="1"/>
  <c r="AN16" i="1"/>
  <c r="T32" i="10" s="1"/>
  <c r="AN18" i="1"/>
  <c r="T47" i="10" s="1"/>
  <c r="AN19" i="1"/>
  <c r="T10" i="10" s="1"/>
  <c r="AN21" i="1"/>
  <c r="T11" i="10" s="1"/>
  <c r="AN24" i="1"/>
  <c r="T36" i="10" s="1"/>
  <c r="AN25" i="1"/>
  <c r="T34" i="10" s="1"/>
  <c r="AN26" i="1"/>
  <c r="T49" i="10" s="1"/>
  <c r="AN27" i="1"/>
  <c r="T50" i="10" s="1"/>
  <c r="AN30" i="1"/>
  <c r="T13" i="10" s="1"/>
  <c r="AN31" i="1"/>
  <c r="T5" i="10" s="1"/>
  <c r="AN33" i="1"/>
  <c r="T29" i="10" s="1"/>
  <c r="U29" i="10" s="1"/>
  <c r="AN34" i="1"/>
  <c r="T14" i="10" s="1"/>
  <c r="AN40" i="1"/>
  <c r="T15" i="10" s="1"/>
  <c r="AN41" i="1"/>
  <c r="T16" i="10" s="1"/>
  <c r="AN42" i="1"/>
  <c r="T17" i="10" s="1"/>
  <c r="AN43" i="1"/>
  <c r="T38" i="10" s="1"/>
  <c r="AN44" i="1"/>
  <c r="T18" i="10" s="1"/>
  <c r="AN45" i="1"/>
  <c r="T19" i="10" s="1"/>
  <c r="AN46" i="1"/>
  <c r="T20" i="10" s="1"/>
  <c r="AN56" i="1"/>
  <c r="T27" i="10" s="1"/>
  <c r="AL44" i="1"/>
  <c r="S18" i="10" s="1"/>
  <c r="AL45" i="1"/>
  <c r="S19" i="10" s="1"/>
  <c r="AL46" i="1"/>
  <c r="S20" i="10" s="1"/>
  <c r="AL56" i="1"/>
  <c r="S27" i="10" s="1"/>
  <c r="AL40" i="1"/>
  <c r="S15" i="10" s="1"/>
  <c r="AL41" i="1"/>
  <c r="S16" i="10" s="1"/>
  <c r="AL42" i="1"/>
  <c r="S17" i="10" s="1"/>
  <c r="AL43" i="1"/>
  <c r="S38" i="10" s="1"/>
  <c r="AL4" i="1"/>
  <c r="S3" i="10" s="1"/>
  <c r="AL5" i="1"/>
  <c r="S33" i="10" s="1"/>
  <c r="AL6" i="1"/>
  <c r="S8" i="10" s="1"/>
  <c r="AL7" i="1"/>
  <c r="S9" i="10" s="1"/>
  <c r="AL8" i="1"/>
  <c r="S37" i="10" s="1"/>
  <c r="AL9" i="1"/>
  <c r="S4" i="10" s="1"/>
  <c r="AL10" i="1"/>
  <c r="S28" i="10" s="1"/>
  <c r="AL11" i="1"/>
  <c r="S6" i="10" s="1"/>
  <c r="AL12" i="1"/>
  <c r="S41" i="10" s="1"/>
  <c r="AL16" i="1"/>
  <c r="S32" i="10" s="1"/>
  <c r="AL18" i="1"/>
  <c r="S47" i="10" s="1"/>
  <c r="AL19" i="1"/>
  <c r="S10" i="10" s="1"/>
  <c r="AL21" i="1"/>
  <c r="S11" i="10" s="1"/>
  <c r="AL24" i="1"/>
  <c r="S36" i="10" s="1"/>
  <c r="AL25" i="1"/>
  <c r="S34" i="10" s="1"/>
  <c r="AL26" i="1"/>
  <c r="S49" i="10" s="1"/>
  <c r="AL27" i="1"/>
  <c r="S50" i="10" s="1"/>
  <c r="AL30" i="1"/>
  <c r="S13" i="10" s="1"/>
  <c r="AL31" i="1"/>
  <c r="S5" i="10" s="1"/>
  <c r="AL34" i="1"/>
  <c r="S14" i="10" s="1"/>
  <c r="AJ42" i="1"/>
  <c r="R17" i="10" s="1"/>
  <c r="AJ43" i="1"/>
  <c r="R38" i="10" s="1"/>
  <c r="AJ44" i="1"/>
  <c r="R18" i="10" s="1"/>
  <c r="AJ45" i="1"/>
  <c r="R19" i="10" s="1"/>
  <c r="AJ46" i="1"/>
  <c r="R20" i="10" s="1"/>
  <c r="AJ56" i="1"/>
  <c r="R27" i="10" s="1"/>
  <c r="AJ40" i="1"/>
  <c r="R15" i="10" s="1"/>
  <c r="AJ41" i="1"/>
  <c r="R16" i="10" s="1"/>
  <c r="AJ4" i="1"/>
  <c r="R3" i="10" s="1"/>
  <c r="AJ5" i="1"/>
  <c r="R33" i="10" s="1"/>
  <c r="AJ6" i="1"/>
  <c r="R8" i="10" s="1"/>
  <c r="AJ7" i="1"/>
  <c r="R9" i="10" s="1"/>
  <c r="AJ8" i="1"/>
  <c r="R37" i="10" s="1"/>
  <c r="AJ9" i="1"/>
  <c r="R4" i="10" s="1"/>
  <c r="AJ10" i="1"/>
  <c r="R28" i="10" s="1"/>
  <c r="AJ11" i="1"/>
  <c r="R6" i="10" s="1"/>
  <c r="AJ12" i="1"/>
  <c r="R41" i="10" s="1"/>
  <c r="AJ16" i="1"/>
  <c r="R32" i="10" s="1"/>
  <c r="AJ18" i="1"/>
  <c r="R47" i="10" s="1"/>
  <c r="AJ19" i="1"/>
  <c r="R10" i="10" s="1"/>
  <c r="AJ21" i="1"/>
  <c r="R11" i="10" s="1"/>
  <c r="AJ24" i="1"/>
  <c r="R36" i="10" s="1"/>
  <c r="AJ25" i="1"/>
  <c r="R34" i="10" s="1"/>
  <c r="AJ26" i="1"/>
  <c r="R49" i="10" s="1"/>
  <c r="AJ27" i="1"/>
  <c r="R50" i="10" s="1"/>
  <c r="AJ30" i="1"/>
  <c r="R13" i="10" s="1"/>
  <c r="AJ31" i="1"/>
  <c r="R5" i="10" s="1"/>
  <c r="AJ34" i="1"/>
  <c r="R14" i="10" s="1"/>
  <c r="AH41" i="1"/>
  <c r="Q16" i="10" s="1"/>
  <c r="AH42" i="1"/>
  <c r="Q17" i="10" s="1"/>
  <c r="AH43" i="1"/>
  <c r="Q38" i="10" s="1"/>
  <c r="AH44" i="1"/>
  <c r="Q18" i="10" s="1"/>
  <c r="AH45" i="1"/>
  <c r="Q19" i="10" s="1"/>
  <c r="AH46" i="1"/>
  <c r="Q20" i="10" s="1"/>
  <c r="AH56" i="1"/>
  <c r="Q27" i="10" s="1"/>
  <c r="AH40" i="1"/>
  <c r="Q15" i="10" s="1"/>
  <c r="AH4" i="1"/>
  <c r="Q3" i="10" s="1"/>
  <c r="AH5" i="1"/>
  <c r="Q33" i="10" s="1"/>
  <c r="AH6" i="1"/>
  <c r="Q8" i="10" s="1"/>
  <c r="AH7" i="1"/>
  <c r="Q9" i="10" s="1"/>
  <c r="AH8" i="1"/>
  <c r="Q37" i="10" s="1"/>
  <c r="AH9" i="1"/>
  <c r="Q4" i="10" s="1"/>
  <c r="AH10" i="1"/>
  <c r="Q28" i="10" s="1"/>
  <c r="AH11" i="1"/>
  <c r="Q6" i="10" s="1"/>
  <c r="AH12" i="1"/>
  <c r="Q41" i="10" s="1"/>
  <c r="AH16" i="1"/>
  <c r="Q32" i="10" s="1"/>
  <c r="AH18" i="1"/>
  <c r="Q47" i="10" s="1"/>
  <c r="AH19" i="1"/>
  <c r="Q10" i="10" s="1"/>
  <c r="AH21" i="1"/>
  <c r="Q11" i="10" s="1"/>
  <c r="AH24" i="1"/>
  <c r="Q36" i="10" s="1"/>
  <c r="AH25" i="1"/>
  <c r="Q34" i="10" s="1"/>
  <c r="AH26" i="1"/>
  <c r="Q49" i="10" s="1"/>
  <c r="AH27" i="1"/>
  <c r="Q50" i="10" s="1"/>
  <c r="AH30" i="1"/>
  <c r="Q13" i="10" s="1"/>
  <c r="AH31" i="1"/>
  <c r="Q5" i="10" s="1"/>
  <c r="AH34" i="1"/>
  <c r="Q14" i="10" s="1"/>
  <c r="AF4" i="1"/>
  <c r="P3" i="10" s="1"/>
  <c r="AF5" i="1"/>
  <c r="P33" i="10" s="1"/>
  <c r="AF6" i="1"/>
  <c r="P8" i="10" s="1"/>
  <c r="AF7" i="1"/>
  <c r="P9" i="10" s="1"/>
  <c r="AF8" i="1"/>
  <c r="P37" i="10" s="1"/>
  <c r="AF9" i="1"/>
  <c r="P4" i="10" s="1"/>
  <c r="AF10" i="1"/>
  <c r="P28" i="10" s="1"/>
  <c r="AF11" i="1"/>
  <c r="P6" i="10" s="1"/>
  <c r="AF12" i="1"/>
  <c r="P41" i="10" s="1"/>
  <c r="AF16" i="1"/>
  <c r="P32" i="10" s="1"/>
  <c r="AF18" i="1"/>
  <c r="P47" i="10" s="1"/>
  <c r="AF19" i="1"/>
  <c r="P10" i="10" s="1"/>
  <c r="AF21" i="1"/>
  <c r="P11" i="10" s="1"/>
  <c r="AF24" i="1"/>
  <c r="P36" i="10" s="1"/>
  <c r="AF25" i="1"/>
  <c r="P34" i="10" s="1"/>
  <c r="AF26" i="1"/>
  <c r="P49" i="10" s="1"/>
  <c r="AF27" i="1"/>
  <c r="P50" i="10" s="1"/>
  <c r="AF30" i="1"/>
  <c r="P13" i="10" s="1"/>
  <c r="AF31" i="1"/>
  <c r="P5" i="10" s="1"/>
  <c r="AF34" i="1"/>
  <c r="P14" i="10" s="1"/>
  <c r="AF40" i="1"/>
  <c r="P15" i="10" s="1"/>
  <c r="AF41" i="1"/>
  <c r="P16" i="10" s="1"/>
  <c r="AF42" i="1"/>
  <c r="P17" i="10" s="1"/>
  <c r="AF43" i="1"/>
  <c r="P38" i="10" s="1"/>
  <c r="AF44" i="1"/>
  <c r="P18" i="10" s="1"/>
  <c r="AF45" i="1"/>
  <c r="P19" i="10" s="1"/>
  <c r="AF46" i="1"/>
  <c r="P20" i="10" s="1"/>
  <c r="AF56" i="1"/>
  <c r="P27" i="10" s="1"/>
  <c r="AD40" i="1"/>
  <c r="O15" i="10" s="1"/>
  <c r="AD41" i="1"/>
  <c r="O16" i="10" s="1"/>
  <c r="AD42" i="1"/>
  <c r="O17" i="10" s="1"/>
  <c r="AD43" i="1"/>
  <c r="O38" i="10" s="1"/>
  <c r="AD44" i="1"/>
  <c r="O18" i="10" s="1"/>
  <c r="AD45" i="1"/>
  <c r="O19" i="10" s="1"/>
  <c r="AD46" i="1"/>
  <c r="O20" i="10" s="1"/>
  <c r="AD56" i="1"/>
  <c r="O27" i="10" s="1"/>
  <c r="AD4" i="1"/>
  <c r="O3" i="10" s="1"/>
  <c r="AD5" i="1"/>
  <c r="O33" i="10" s="1"/>
  <c r="AD6" i="1"/>
  <c r="O8" i="10" s="1"/>
  <c r="AD7" i="1"/>
  <c r="O9" i="10" s="1"/>
  <c r="AD8" i="1"/>
  <c r="O37" i="10" s="1"/>
  <c r="AD9" i="1"/>
  <c r="O4" i="10" s="1"/>
  <c r="AD10" i="1"/>
  <c r="O28" i="10" s="1"/>
  <c r="AD11" i="1"/>
  <c r="O6" i="10" s="1"/>
  <c r="AD12" i="1"/>
  <c r="O41" i="10" s="1"/>
  <c r="AD16" i="1"/>
  <c r="O32" i="10" s="1"/>
  <c r="AD18" i="1"/>
  <c r="O47" i="10" s="1"/>
  <c r="AD19" i="1"/>
  <c r="O10" i="10" s="1"/>
  <c r="AD21" i="1"/>
  <c r="O11" i="10" s="1"/>
  <c r="AD24" i="1"/>
  <c r="O36" i="10" s="1"/>
  <c r="AD25" i="1"/>
  <c r="O34" i="10" s="1"/>
  <c r="AD26" i="1"/>
  <c r="O49" i="10" s="1"/>
  <c r="AD27" i="1"/>
  <c r="O50" i="10" s="1"/>
  <c r="AD30" i="1"/>
  <c r="O13" i="10" s="1"/>
  <c r="AD31" i="1"/>
  <c r="O5" i="10" s="1"/>
  <c r="AD34" i="1"/>
  <c r="O14" i="10" s="1"/>
  <c r="AB45" i="1"/>
  <c r="N19" i="10" s="1"/>
  <c r="AB46" i="1"/>
  <c r="N20" i="10" s="1"/>
  <c r="AB56" i="1"/>
  <c r="N27" i="10" s="1"/>
  <c r="AB40" i="1"/>
  <c r="N15" i="10" s="1"/>
  <c r="AB41" i="1"/>
  <c r="N16" i="10" s="1"/>
  <c r="AB42" i="1"/>
  <c r="N17" i="10" s="1"/>
  <c r="AB43" i="1"/>
  <c r="N38" i="10" s="1"/>
  <c r="AB44" i="1"/>
  <c r="N18" i="10" s="1"/>
  <c r="AB4" i="1"/>
  <c r="N3" i="10" s="1"/>
  <c r="AB5" i="1"/>
  <c r="N33" i="10" s="1"/>
  <c r="AB6" i="1"/>
  <c r="N8" i="10" s="1"/>
  <c r="AB7" i="1"/>
  <c r="N9" i="10" s="1"/>
  <c r="AB8" i="1"/>
  <c r="N37" i="10" s="1"/>
  <c r="AB9" i="1"/>
  <c r="N4" i="10" s="1"/>
  <c r="AB10" i="1"/>
  <c r="N28" i="10" s="1"/>
  <c r="AB11" i="1"/>
  <c r="N6" i="10" s="1"/>
  <c r="AB12" i="1"/>
  <c r="N41" i="10" s="1"/>
  <c r="AB16" i="1"/>
  <c r="N32" i="10" s="1"/>
  <c r="AB18" i="1"/>
  <c r="N47" i="10" s="1"/>
  <c r="AB19" i="1"/>
  <c r="N10" i="10" s="1"/>
  <c r="AB21" i="1"/>
  <c r="N11" i="10" s="1"/>
  <c r="AB24" i="1"/>
  <c r="N36" i="10" s="1"/>
  <c r="AB25" i="1"/>
  <c r="N34" i="10" s="1"/>
  <c r="AB26" i="1"/>
  <c r="N49" i="10" s="1"/>
  <c r="AB27" i="1"/>
  <c r="N50" i="10" s="1"/>
  <c r="AB30" i="1"/>
  <c r="N13" i="10" s="1"/>
  <c r="AB31" i="1"/>
  <c r="N5" i="10" s="1"/>
  <c r="AB34" i="1"/>
  <c r="N14" i="10" s="1"/>
  <c r="Z4" i="1"/>
  <c r="M3" i="10" s="1"/>
  <c r="Z5" i="1"/>
  <c r="M33" i="10" s="1"/>
  <c r="Z6" i="1"/>
  <c r="M8" i="10" s="1"/>
  <c r="Z7" i="1"/>
  <c r="M9" i="10" s="1"/>
  <c r="Z8" i="1"/>
  <c r="M37" i="10" s="1"/>
  <c r="Z9" i="1"/>
  <c r="M4" i="10" s="1"/>
  <c r="Z10" i="1"/>
  <c r="M28" i="10" s="1"/>
  <c r="Z11" i="1"/>
  <c r="M6" i="10" s="1"/>
  <c r="Z12" i="1"/>
  <c r="M41" i="10" s="1"/>
  <c r="Z16" i="1"/>
  <c r="M32" i="10" s="1"/>
  <c r="Z18" i="1"/>
  <c r="M47" i="10" s="1"/>
  <c r="Z19" i="1"/>
  <c r="M10" i="10" s="1"/>
  <c r="Z21" i="1"/>
  <c r="M11" i="10" s="1"/>
  <c r="Z24" i="1"/>
  <c r="M36" i="10" s="1"/>
  <c r="Z25" i="1"/>
  <c r="M34" i="10" s="1"/>
  <c r="Z26" i="1"/>
  <c r="M49" i="10" s="1"/>
  <c r="Z27" i="1"/>
  <c r="M50" i="10" s="1"/>
  <c r="Z30" i="1"/>
  <c r="M13" i="10" s="1"/>
  <c r="Z31" i="1"/>
  <c r="M5" i="10" s="1"/>
  <c r="Z34" i="1"/>
  <c r="M14" i="10" s="1"/>
  <c r="Z35" i="1"/>
  <c r="M30" i="10" s="1"/>
  <c r="U30" i="10" s="1"/>
  <c r="Z40" i="1"/>
  <c r="M15" i="10" s="1"/>
  <c r="Z41" i="1"/>
  <c r="M16" i="10" s="1"/>
  <c r="Z42" i="1"/>
  <c r="M17" i="10" s="1"/>
  <c r="Z43" i="1"/>
  <c r="M38" i="10" s="1"/>
  <c r="Z44" i="1"/>
  <c r="M18" i="10" s="1"/>
  <c r="Z45" i="1"/>
  <c r="M19" i="10" s="1"/>
  <c r="Z46" i="1"/>
  <c r="M20" i="10" s="1"/>
  <c r="Z53" i="1"/>
  <c r="M24" i="10" s="1"/>
  <c r="U24" i="10" s="1"/>
  <c r="Z56" i="1"/>
  <c r="M27" i="10" s="1"/>
  <c r="X40" i="1"/>
  <c r="K15" i="10" s="1"/>
  <c r="X41" i="1"/>
  <c r="K16" i="10" s="1"/>
  <c r="X42" i="1"/>
  <c r="K17" i="10" s="1"/>
  <c r="X43" i="1"/>
  <c r="K38" i="10" s="1"/>
  <c r="X44" i="1"/>
  <c r="K18" i="10" s="1"/>
  <c r="X45" i="1"/>
  <c r="K19" i="10" s="1"/>
  <c r="X46" i="1"/>
  <c r="K20" i="10" s="1"/>
  <c r="X47" i="1"/>
  <c r="K53" i="10" s="1"/>
  <c r="X50" i="1"/>
  <c r="K21" i="10" s="1"/>
  <c r="X51" i="1"/>
  <c r="K22" i="10" s="1"/>
  <c r="X53" i="1"/>
  <c r="K24" i="10" s="1"/>
  <c r="X55" i="1"/>
  <c r="K26" i="10" s="1"/>
  <c r="X56" i="1"/>
  <c r="K27" i="10" s="1"/>
  <c r="X38" i="1"/>
  <c r="K46" i="10" s="1"/>
  <c r="X39" i="1"/>
  <c r="K56" i="10" s="1"/>
  <c r="X4" i="1"/>
  <c r="K3" i="10" s="1"/>
  <c r="X5" i="1"/>
  <c r="K33" i="10" s="1"/>
  <c r="X6" i="1"/>
  <c r="K8" i="10" s="1"/>
  <c r="X7" i="1"/>
  <c r="K9" i="10" s="1"/>
  <c r="X8" i="1"/>
  <c r="K37" i="10" s="1"/>
  <c r="L37" i="10" s="1"/>
  <c r="X9" i="1"/>
  <c r="K4" i="10" s="1"/>
  <c r="X10" i="1"/>
  <c r="K28" i="10" s="1"/>
  <c r="X11" i="1"/>
  <c r="K6" i="10" s="1"/>
  <c r="X12" i="1"/>
  <c r="K41" i="10" s="1"/>
  <c r="X16" i="1"/>
  <c r="K32" i="10" s="1"/>
  <c r="X17" i="1"/>
  <c r="K39" i="10" s="1"/>
  <c r="X18" i="1"/>
  <c r="K47" i="10" s="1"/>
  <c r="X19" i="1"/>
  <c r="K10" i="10" s="1"/>
  <c r="X21" i="1"/>
  <c r="K11" i="10" s="1"/>
  <c r="X22" i="1"/>
  <c r="K35" i="10" s="1"/>
  <c r="X24" i="1"/>
  <c r="K36" i="10" s="1"/>
  <c r="X25" i="1"/>
  <c r="K34" i="10" s="1"/>
  <c r="X26" i="1"/>
  <c r="K49" i="10" s="1"/>
  <c r="X27" i="1"/>
  <c r="K50" i="10" s="1"/>
  <c r="X29" i="1"/>
  <c r="K12" i="10" s="1"/>
  <c r="X30" i="1"/>
  <c r="K13" i="10" s="1"/>
  <c r="X31" i="1"/>
  <c r="K5" i="10" s="1"/>
  <c r="X32" i="1"/>
  <c r="K45" i="10" s="1"/>
  <c r="X33" i="1"/>
  <c r="K29" i="10" s="1"/>
  <c r="X34" i="1"/>
  <c r="K14" i="10" s="1"/>
  <c r="X35" i="1"/>
  <c r="K30" i="10" s="1"/>
  <c r="X36" i="1"/>
  <c r="K40" i="10" s="1"/>
  <c r="X37" i="1"/>
  <c r="K52" i="10" s="1"/>
  <c r="V41" i="1"/>
  <c r="J16" i="10" s="1"/>
  <c r="V42" i="1"/>
  <c r="J17" i="10" s="1"/>
  <c r="V43" i="1"/>
  <c r="J38" i="10" s="1"/>
  <c r="V44" i="1"/>
  <c r="J18" i="10" s="1"/>
  <c r="V45" i="1"/>
  <c r="J19" i="10" s="1"/>
  <c r="V46" i="1"/>
  <c r="J20" i="10" s="1"/>
  <c r="V47" i="1"/>
  <c r="J53" i="10" s="1"/>
  <c r="V50" i="1"/>
  <c r="J21" i="10" s="1"/>
  <c r="V51" i="1"/>
  <c r="J22" i="10" s="1"/>
  <c r="V53" i="1"/>
  <c r="J24" i="10" s="1"/>
  <c r="V55" i="1"/>
  <c r="J26" i="10" s="1"/>
  <c r="V56" i="1"/>
  <c r="J27" i="10" s="1"/>
  <c r="V38" i="1"/>
  <c r="J46" i="10" s="1"/>
  <c r="V39" i="1"/>
  <c r="J56" i="10" s="1"/>
  <c r="V40" i="1"/>
  <c r="J15" i="10" s="1"/>
  <c r="V4" i="1"/>
  <c r="J3" i="10" s="1"/>
  <c r="V5" i="1"/>
  <c r="J33" i="10" s="1"/>
  <c r="V6" i="1"/>
  <c r="J8" i="10" s="1"/>
  <c r="V7" i="1"/>
  <c r="J9" i="10" s="1"/>
  <c r="V9" i="1"/>
  <c r="J4" i="10" s="1"/>
  <c r="V10" i="1"/>
  <c r="J28" i="10" s="1"/>
  <c r="V11" i="1"/>
  <c r="J6" i="10" s="1"/>
  <c r="V12" i="1"/>
  <c r="J41" i="10" s="1"/>
  <c r="V16" i="1"/>
  <c r="J32" i="10" s="1"/>
  <c r="V17" i="1"/>
  <c r="J39" i="10" s="1"/>
  <c r="V18" i="1"/>
  <c r="J47" i="10" s="1"/>
  <c r="V19" i="1"/>
  <c r="J10" i="10" s="1"/>
  <c r="V21" i="1"/>
  <c r="J11" i="10" s="1"/>
  <c r="V22" i="1"/>
  <c r="J35" i="10" s="1"/>
  <c r="V24" i="1"/>
  <c r="J36" i="10" s="1"/>
  <c r="V25" i="1"/>
  <c r="J34" i="10" s="1"/>
  <c r="V26" i="1"/>
  <c r="J49" i="10" s="1"/>
  <c r="V27" i="1"/>
  <c r="J50" i="10" s="1"/>
  <c r="V29" i="1"/>
  <c r="J12" i="10" s="1"/>
  <c r="V30" i="1"/>
  <c r="J13" i="10" s="1"/>
  <c r="V31" i="1"/>
  <c r="J5" i="10" s="1"/>
  <c r="V32" i="1"/>
  <c r="J45" i="10" s="1"/>
  <c r="V33" i="1"/>
  <c r="J29" i="10" s="1"/>
  <c r="V34" i="1"/>
  <c r="J14" i="10" s="1"/>
  <c r="V35" i="1"/>
  <c r="J30" i="10" s="1"/>
  <c r="V36" i="1"/>
  <c r="J40" i="10" s="1"/>
  <c r="V37" i="1"/>
  <c r="J52" i="10" s="1"/>
  <c r="T4" i="1"/>
  <c r="I3" i="10" s="1"/>
  <c r="T5" i="1"/>
  <c r="I33" i="10" s="1"/>
  <c r="T6" i="1"/>
  <c r="I8" i="10" s="1"/>
  <c r="T7" i="1"/>
  <c r="I9" i="10" s="1"/>
  <c r="T9" i="1"/>
  <c r="I4" i="10" s="1"/>
  <c r="T10" i="1"/>
  <c r="I28" i="10" s="1"/>
  <c r="T11" i="1"/>
  <c r="I6" i="10" s="1"/>
  <c r="T12" i="1"/>
  <c r="I41" i="10" s="1"/>
  <c r="T16" i="1"/>
  <c r="I32" i="10" s="1"/>
  <c r="T17" i="1"/>
  <c r="I39" i="10" s="1"/>
  <c r="T18" i="1"/>
  <c r="I47" i="10" s="1"/>
  <c r="T19" i="1"/>
  <c r="I10" i="10" s="1"/>
  <c r="T21" i="1"/>
  <c r="I11" i="10" s="1"/>
  <c r="T22" i="1"/>
  <c r="I35" i="10" s="1"/>
  <c r="T24" i="1"/>
  <c r="I36" i="10" s="1"/>
  <c r="T25" i="1"/>
  <c r="I34" i="10" s="1"/>
  <c r="T26" i="1"/>
  <c r="I49" i="10" s="1"/>
  <c r="T27" i="1"/>
  <c r="I50" i="10" s="1"/>
  <c r="T29" i="1"/>
  <c r="I12" i="10" s="1"/>
  <c r="T30" i="1"/>
  <c r="I13" i="10" s="1"/>
  <c r="T31" i="1"/>
  <c r="I5" i="10" s="1"/>
  <c r="T32" i="1"/>
  <c r="I45" i="10" s="1"/>
  <c r="T33" i="1"/>
  <c r="I29" i="10" s="1"/>
  <c r="T34" i="1"/>
  <c r="I14" i="10" s="1"/>
  <c r="T35" i="1"/>
  <c r="I30" i="10" s="1"/>
  <c r="T36" i="1"/>
  <c r="I40" i="10" s="1"/>
  <c r="T37" i="1"/>
  <c r="I52" i="10" s="1"/>
  <c r="T38" i="1"/>
  <c r="I46" i="10" s="1"/>
  <c r="T39" i="1"/>
  <c r="I56" i="10" s="1"/>
  <c r="T40" i="1"/>
  <c r="I15" i="10" s="1"/>
  <c r="T41" i="1"/>
  <c r="I16" i="10" s="1"/>
  <c r="T42" i="1"/>
  <c r="I17" i="10" s="1"/>
  <c r="T43" i="1"/>
  <c r="I38" i="10" s="1"/>
  <c r="T44" i="1"/>
  <c r="I18" i="10" s="1"/>
  <c r="T45" i="1"/>
  <c r="I19" i="10" s="1"/>
  <c r="T46" i="1"/>
  <c r="I20" i="10" s="1"/>
  <c r="T47" i="1"/>
  <c r="I53" i="10" s="1"/>
  <c r="T50" i="1"/>
  <c r="I21" i="10" s="1"/>
  <c r="T51" i="1"/>
  <c r="I22" i="10" s="1"/>
  <c r="T53" i="1"/>
  <c r="I24" i="10" s="1"/>
  <c r="T55" i="1"/>
  <c r="I26" i="10" s="1"/>
  <c r="T56" i="1"/>
  <c r="I27" i="10" s="1"/>
  <c r="R50" i="1"/>
  <c r="H21" i="10" s="1"/>
  <c r="R51" i="1"/>
  <c r="H22" i="10" s="1"/>
  <c r="R53" i="1"/>
  <c r="H24" i="10" s="1"/>
  <c r="R55" i="1"/>
  <c r="H26" i="10" s="1"/>
  <c r="R56" i="1"/>
  <c r="H27" i="10" s="1"/>
  <c r="R38" i="1"/>
  <c r="H46" i="10" s="1"/>
  <c r="R39" i="1"/>
  <c r="H56" i="10" s="1"/>
  <c r="R40" i="1"/>
  <c r="H15" i="10" s="1"/>
  <c r="R41" i="1"/>
  <c r="H16" i="10" s="1"/>
  <c r="R42" i="1"/>
  <c r="H17" i="10" s="1"/>
  <c r="R43" i="1"/>
  <c r="H38" i="10" s="1"/>
  <c r="R44" i="1"/>
  <c r="H18" i="10" s="1"/>
  <c r="R45" i="1"/>
  <c r="H19" i="10" s="1"/>
  <c r="R46" i="1"/>
  <c r="H20" i="10" s="1"/>
  <c r="R47" i="1"/>
  <c r="H53" i="10" s="1"/>
  <c r="R4" i="1"/>
  <c r="H3" i="10" s="1"/>
  <c r="R5" i="1"/>
  <c r="H33" i="10" s="1"/>
  <c r="R6" i="1"/>
  <c r="H8" i="10" s="1"/>
  <c r="R7" i="1"/>
  <c r="H9" i="10" s="1"/>
  <c r="R9" i="1"/>
  <c r="H4" i="10" s="1"/>
  <c r="R10" i="1"/>
  <c r="H28" i="10" s="1"/>
  <c r="R11" i="1"/>
  <c r="H6" i="10" s="1"/>
  <c r="R12" i="1"/>
  <c r="H41" i="10" s="1"/>
  <c r="R16" i="1"/>
  <c r="H32" i="10" s="1"/>
  <c r="R17" i="1"/>
  <c r="H39" i="10" s="1"/>
  <c r="R18" i="1"/>
  <c r="H47" i="10" s="1"/>
  <c r="R19" i="1"/>
  <c r="H10" i="10" s="1"/>
  <c r="R21" i="1"/>
  <c r="H11" i="10" s="1"/>
  <c r="R22" i="1"/>
  <c r="H35" i="10" s="1"/>
  <c r="R24" i="1"/>
  <c r="H36" i="10" s="1"/>
  <c r="R25" i="1"/>
  <c r="H34" i="10" s="1"/>
  <c r="R26" i="1"/>
  <c r="H49" i="10" s="1"/>
  <c r="R27" i="1"/>
  <c r="H50" i="10" s="1"/>
  <c r="R29" i="1"/>
  <c r="H12" i="10" s="1"/>
  <c r="R30" i="1"/>
  <c r="H13" i="10" s="1"/>
  <c r="R31" i="1"/>
  <c r="H5" i="10" s="1"/>
  <c r="R32" i="1"/>
  <c r="H45" i="10" s="1"/>
  <c r="R33" i="1"/>
  <c r="H29" i="10" s="1"/>
  <c r="R34" i="1"/>
  <c r="H14" i="10" s="1"/>
  <c r="R35" i="1"/>
  <c r="H30" i="10" s="1"/>
  <c r="R36" i="1"/>
  <c r="H40" i="10" s="1"/>
  <c r="R37" i="1"/>
  <c r="H52" i="10" s="1"/>
  <c r="P4" i="1"/>
  <c r="G3" i="10" s="1"/>
  <c r="P5" i="1"/>
  <c r="G33" i="10" s="1"/>
  <c r="P6" i="1"/>
  <c r="G8" i="10" s="1"/>
  <c r="P7" i="1"/>
  <c r="G9" i="10" s="1"/>
  <c r="P9" i="1"/>
  <c r="G4" i="10" s="1"/>
  <c r="P10" i="1"/>
  <c r="G28" i="10" s="1"/>
  <c r="P11" i="1"/>
  <c r="G6" i="10" s="1"/>
  <c r="P12" i="1"/>
  <c r="G41" i="10" s="1"/>
  <c r="P16" i="1"/>
  <c r="G32" i="10" s="1"/>
  <c r="P17" i="1"/>
  <c r="G39" i="10" s="1"/>
  <c r="P18" i="1"/>
  <c r="G47" i="10" s="1"/>
  <c r="P19" i="1"/>
  <c r="G10" i="10" s="1"/>
  <c r="P21" i="1"/>
  <c r="G11" i="10" s="1"/>
  <c r="P22" i="1"/>
  <c r="G35" i="10" s="1"/>
  <c r="P24" i="1"/>
  <c r="G36" i="10" s="1"/>
  <c r="P25" i="1"/>
  <c r="G34" i="10" s="1"/>
  <c r="P26" i="1"/>
  <c r="G49" i="10" s="1"/>
  <c r="P27" i="1"/>
  <c r="G50" i="10" s="1"/>
  <c r="P29" i="1"/>
  <c r="G12" i="10" s="1"/>
  <c r="P30" i="1"/>
  <c r="G13" i="10" s="1"/>
  <c r="P31" i="1"/>
  <c r="G5" i="10" s="1"/>
  <c r="P32" i="1"/>
  <c r="G45" i="10" s="1"/>
  <c r="P33" i="1"/>
  <c r="G29" i="10" s="1"/>
  <c r="P34" i="1"/>
  <c r="G14" i="10" s="1"/>
  <c r="P35" i="1"/>
  <c r="G30" i="10" s="1"/>
  <c r="P36" i="1"/>
  <c r="G40" i="10" s="1"/>
  <c r="P37" i="1"/>
  <c r="G52" i="10" s="1"/>
  <c r="P38" i="1"/>
  <c r="G46" i="10" s="1"/>
  <c r="P39" i="1"/>
  <c r="G56" i="10" s="1"/>
  <c r="P40" i="1"/>
  <c r="G15" i="10" s="1"/>
  <c r="P41" i="1"/>
  <c r="G16" i="10" s="1"/>
  <c r="P42" i="1"/>
  <c r="G17" i="10" s="1"/>
  <c r="P43" i="1"/>
  <c r="G38" i="10" s="1"/>
  <c r="P44" i="1"/>
  <c r="G18" i="10" s="1"/>
  <c r="P45" i="1"/>
  <c r="G19" i="10" s="1"/>
  <c r="P46" i="1"/>
  <c r="G20" i="10" s="1"/>
  <c r="P47" i="1"/>
  <c r="G53" i="10" s="1"/>
  <c r="P50" i="1"/>
  <c r="G21" i="10" s="1"/>
  <c r="P51" i="1"/>
  <c r="G22" i="10" s="1"/>
  <c r="P53" i="1"/>
  <c r="G24" i="10" s="1"/>
  <c r="P55" i="1"/>
  <c r="G26" i="10" s="1"/>
  <c r="P56" i="1"/>
  <c r="G27" i="10" s="1"/>
  <c r="N39" i="1"/>
  <c r="F56" i="10" s="1"/>
  <c r="N40" i="1"/>
  <c r="F15" i="10" s="1"/>
  <c r="N41" i="1"/>
  <c r="F16" i="10" s="1"/>
  <c r="N42" i="1"/>
  <c r="F17" i="10" s="1"/>
  <c r="N43" i="1"/>
  <c r="F38" i="10" s="1"/>
  <c r="N44" i="1"/>
  <c r="F18" i="10" s="1"/>
  <c r="N45" i="1"/>
  <c r="F19" i="10" s="1"/>
  <c r="N46" i="1"/>
  <c r="F20" i="10" s="1"/>
  <c r="N47" i="1"/>
  <c r="F53" i="10" s="1"/>
  <c r="N50" i="1"/>
  <c r="F21" i="10" s="1"/>
  <c r="N51" i="1"/>
  <c r="F22" i="10" s="1"/>
  <c r="N53" i="1"/>
  <c r="F24" i="10" s="1"/>
  <c r="N55" i="1"/>
  <c r="F26" i="10" s="1"/>
  <c r="N56" i="1"/>
  <c r="F27" i="10" s="1"/>
  <c r="N38" i="1"/>
  <c r="F46" i="10" s="1"/>
  <c r="N4" i="1"/>
  <c r="F3" i="10" s="1"/>
  <c r="N5" i="1"/>
  <c r="F33" i="10" s="1"/>
  <c r="N6" i="1"/>
  <c r="F8" i="10" s="1"/>
  <c r="N7" i="1"/>
  <c r="F9" i="10" s="1"/>
  <c r="N9" i="1"/>
  <c r="F4" i="10" s="1"/>
  <c r="N10" i="1"/>
  <c r="F28" i="10" s="1"/>
  <c r="N11" i="1"/>
  <c r="F6" i="10" s="1"/>
  <c r="N12" i="1"/>
  <c r="F41" i="10" s="1"/>
  <c r="N16" i="1"/>
  <c r="F32" i="10" s="1"/>
  <c r="N17" i="1"/>
  <c r="F39" i="10" s="1"/>
  <c r="N18" i="1"/>
  <c r="F47" i="10" s="1"/>
  <c r="N19" i="1"/>
  <c r="F10" i="10" s="1"/>
  <c r="N21" i="1"/>
  <c r="F11" i="10" s="1"/>
  <c r="N22" i="1"/>
  <c r="F35" i="10" s="1"/>
  <c r="N24" i="1"/>
  <c r="F36" i="10" s="1"/>
  <c r="N25" i="1"/>
  <c r="F34" i="10" s="1"/>
  <c r="N26" i="1"/>
  <c r="F49" i="10" s="1"/>
  <c r="N27" i="1"/>
  <c r="F50" i="10" s="1"/>
  <c r="N29" i="1"/>
  <c r="F12" i="10" s="1"/>
  <c r="N30" i="1"/>
  <c r="F13" i="10" s="1"/>
  <c r="N31" i="1"/>
  <c r="F5" i="10" s="1"/>
  <c r="N32" i="1"/>
  <c r="F45" i="10" s="1"/>
  <c r="N33" i="1"/>
  <c r="F29" i="10" s="1"/>
  <c r="N34" i="1"/>
  <c r="F14" i="10" s="1"/>
  <c r="N35" i="1"/>
  <c r="F30" i="10" s="1"/>
  <c r="N36" i="1"/>
  <c r="F40" i="10" s="1"/>
  <c r="N37" i="1"/>
  <c r="F52" i="10" s="1"/>
  <c r="L4" i="1"/>
  <c r="E3" i="10" s="1"/>
  <c r="L5" i="1"/>
  <c r="E33" i="10" s="1"/>
  <c r="L6" i="1"/>
  <c r="E8" i="10" s="1"/>
  <c r="L7" i="1"/>
  <c r="E9" i="10" s="1"/>
  <c r="L9" i="1"/>
  <c r="E4" i="10" s="1"/>
  <c r="L10" i="1"/>
  <c r="E28" i="10" s="1"/>
  <c r="L11" i="1"/>
  <c r="E6" i="10" s="1"/>
  <c r="L12" i="1"/>
  <c r="E41" i="10" s="1"/>
  <c r="L16" i="1"/>
  <c r="E32" i="10" s="1"/>
  <c r="L17" i="1"/>
  <c r="E39" i="10" s="1"/>
  <c r="L18" i="1"/>
  <c r="E47" i="10" s="1"/>
  <c r="L19" i="1"/>
  <c r="E10" i="10" s="1"/>
  <c r="L21" i="1"/>
  <c r="E11" i="10" s="1"/>
  <c r="L22" i="1"/>
  <c r="E35" i="10" s="1"/>
  <c r="L24" i="1"/>
  <c r="E36" i="10" s="1"/>
  <c r="L25" i="1"/>
  <c r="E34" i="10" s="1"/>
  <c r="L26" i="1"/>
  <c r="E49" i="10" s="1"/>
  <c r="L27" i="1"/>
  <c r="E50" i="10" s="1"/>
  <c r="L29" i="1"/>
  <c r="E12" i="10" s="1"/>
  <c r="L30" i="1"/>
  <c r="E13" i="10" s="1"/>
  <c r="L31" i="1"/>
  <c r="E5" i="10" s="1"/>
  <c r="L32" i="1"/>
  <c r="E45" i="10" s="1"/>
  <c r="L33" i="1"/>
  <c r="E29" i="10" s="1"/>
  <c r="L34" i="1"/>
  <c r="E14" i="10" s="1"/>
  <c r="L35" i="1"/>
  <c r="E30" i="10" s="1"/>
  <c r="L36" i="1"/>
  <c r="E40" i="10" s="1"/>
  <c r="L37" i="1"/>
  <c r="E52" i="10" s="1"/>
  <c r="L38" i="1"/>
  <c r="E46" i="10" s="1"/>
  <c r="L39" i="1"/>
  <c r="E56" i="10" s="1"/>
  <c r="L40" i="1"/>
  <c r="E15" i="10" s="1"/>
  <c r="L41" i="1"/>
  <c r="E16" i="10" s="1"/>
  <c r="L42" i="1"/>
  <c r="E17" i="10" s="1"/>
  <c r="L43" i="1"/>
  <c r="E38" i="10" s="1"/>
  <c r="L44" i="1"/>
  <c r="E18" i="10" s="1"/>
  <c r="L45" i="1"/>
  <c r="E19" i="10" s="1"/>
  <c r="L46" i="1"/>
  <c r="E20" i="10" s="1"/>
  <c r="L47" i="1"/>
  <c r="E53" i="10" s="1"/>
  <c r="L50" i="1"/>
  <c r="E21" i="10" s="1"/>
  <c r="L51" i="1"/>
  <c r="E22" i="10" s="1"/>
  <c r="L53" i="1"/>
  <c r="E24" i="10" s="1"/>
  <c r="L55" i="1"/>
  <c r="E26" i="10" s="1"/>
  <c r="L56" i="1"/>
  <c r="E27" i="10" s="1"/>
  <c r="H38" i="1"/>
  <c r="C46" i="10" s="1"/>
  <c r="H39" i="1"/>
  <c r="C56" i="10" s="1"/>
  <c r="H40" i="1"/>
  <c r="C15" i="10" s="1"/>
  <c r="H41" i="1"/>
  <c r="C16" i="10" s="1"/>
  <c r="H42" i="1"/>
  <c r="C17" i="10" s="1"/>
  <c r="H43" i="1"/>
  <c r="C38" i="10" s="1"/>
  <c r="H44" i="1"/>
  <c r="C18" i="10" s="1"/>
  <c r="H45" i="1"/>
  <c r="C19" i="10" s="1"/>
  <c r="H46" i="1"/>
  <c r="C20" i="10" s="1"/>
  <c r="H47" i="1"/>
  <c r="C53" i="10" s="1"/>
  <c r="H50" i="1"/>
  <c r="C21" i="10" s="1"/>
  <c r="H51" i="1"/>
  <c r="C22" i="10" s="1"/>
  <c r="H53" i="1"/>
  <c r="C24" i="10" s="1"/>
  <c r="H55" i="1"/>
  <c r="C26" i="10" s="1"/>
  <c r="H56" i="1"/>
  <c r="C27" i="10" s="1"/>
  <c r="H4" i="1"/>
  <c r="C3" i="10" s="1"/>
  <c r="H5" i="1"/>
  <c r="C33" i="10" s="1"/>
  <c r="H6" i="1"/>
  <c r="C8" i="10" s="1"/>
  <c r="H7" i="1"/>
  <c r="C9" i="10" s="1"/>
  <c r="H9" i="1"/>
  <c r="C4" i="10" s="1"/>
  <c r="H10" i="1"/>
  <c r="C28" i="10" s="1"/>
  <c r="H11" i="1"/>
  <c r="C6" i="10" s="1"/>
  <c r="H12" i="1"/>
  <c r="C41" i="10" s="1"/>
  <c r="H16" i="1"/>
  <c r="C32" i="10" s="1"/>
  <c r="H17" i="1"/>
  <c r="C39" i="10" s="1"/>
  <c r="H18" i="1"/>
  <c r="C47" i="10" s="1"/>
  <c r="H19" i="1"/>
  <c r="C10" i="10" s="1"/>
  <c r="H21" i="1"/>
  <c r="C11" i="10" s="1"/>
  <c r="H22" i="1"/>
  <c r="C35" i="10" s="1"/>
  <c r="H24" i="1"/>
  <c r="C36" i="10" s="1"/>
  <c r="H25" i="1"/>
  <c r="C34" i="10" s="1"/>
  <c r="H26" i="1"/>
  <c r="C49" i="10" s="1"/>
  <c r="H27" i="1"/>
  <c r="C50" i="10" s="1"/>
  <c r="H29" i="1"/>
  <c r="C12" i="10" s="1"/>
  <c r="H30" i="1"/>
  <c r="C13" i="10" s="1"/>
  <c r="H31" i="1"/>
  <c r="C5" i="10" s="1"/>
  <c r="H32" i="1"/>
  <c r="C45" i="10" s="1"/>
  <c r="H33" i="1"/>
  <c r="C29" i="10" s="1"/>
  <c r="H34" i="1"/>
  <c r="C14" i="10" s="1"/>
  <c r="H35" i="1"/>
  <c r="C30" i="10" s="1"/>
  <c r="H36" i="1"/>
  <c r="C40" i="10" s="1"/>
  <c r="H37" i="1"/>
  <c r="C52" i="10" s="1"/>
  <c r="B3" i="10"/>
  <c r="B33" i="10"/>
  <c r="B8" i="10"/>
  <c r="B9" i="10"/>
  <c r="B4" i="10"/>
  <c r="B28" i="10"/>
  <c r="B6" i="10"/>
  <c r="B41" i="10"/>
  <c r="B32" i="10"/>
  <c r="B39" i="10"/>
  <c r="B10" i="10"/>
  <c r="B11" i="10"/>
  <c r="B35" i="10"/>
  <c r="B36" i="10"/>
  <c r="B34" i="10"/>
  <c r="B49" i="10"/>
  <c r="B50" i="10"/>
  <c r="B12" i="10"/>
  <c r="B13" i="10"/>
  <c r="B5" i="10"/>
  <c r="B45" i="10"/>
  <c r="B29" i="10"/>
  <c r="B14" i="10"/>
  <c r="B30" i="10"/>
  <c r="B40" i="10"/>
  <c r="B52" i="10"/>
  <c r="B46" i="10"/>
  <c r="B56" i="10"/>
  <c r="B15" i="10"/>
  <c r="B16" i="10"/>
  <c r="B17" i="10"/>
  <c r="B38" i="10"/>
  <c r="B18" i="10"/>
  <c r="B19" i="10"/>
  <c r="B20" i="10"/>
  <c r="B53" i="10"/>
  <c r="B21" i="10"/>
  <c r="B22" i="10"/>
  <c r="B24" i="10"/>
  <c r="B26" i="10"/>
  <c r="B27" i="10"/>
  <c r="U14" i="10" l="1"/>
  <c r="AE55" i="10"/>
  <c r="AE52" i="10"/>
  <c r="AE34" i="10"/>
  <c r="U8" i="10"/>
  <c r="U36" i="10"/>
  <c r="L3" i="10"/>
  <c r="U47" i="10"/>
  <c r="U50" i="10"/>
  <c r="U41" i="10"/>
  <c r="U34" i="10"/>
  <c r="U16" i="10"/>
  <c r="U20" i="10"/>
  <c r="U32" i="10"/>
  <c r="U17" i="10"/>
  <c r="U6" i="10"/>
  <c r="AE4" i="10"/>
  <c r="L24" i="10"/>
  <c r="L34" i="10"/>
  <c r="L45" i="10"/>
  <c r="L46" i="10"/>
  <c r="L39" i="10"/>
  <c r="L33" i="10"/>
  <c r="L18" i="10"/>
  <c r="L40" i="10"/>
  <c r="L49" i="10"/>
  <c r="L36" i="10"/>
  <c r="L22" i="10"/>
  <c r="L52" i="10"/>
  <c r="L21" i="10"/>
  <c r="L13" i="10"/>
  <c r="L19" i="10"/>
  <c r="L9" i="10"/>
  <c r="L11" i="10"/>
  <c r="L17" i="10"/>
  <c r="U15" i="10"/>
  <c r="AE46" i="10"/>
  <c r="AE49" i="10"/>
  <c r="AE10" i="10"/>
  <c r="AE28" i="10"/>
  <c r="AE29" i="10"/>
  <c r="AE50" i="10"/>
  <c r="AE54" i="10"/>
  <c r="AE36" i="10"/>
  <c r="AE39" i="10"/>
  <c r="L14" i="10"/>
  <c r="L50" i="10"/>
  <c r="L53" i="10"/>
  <c r="U9" i="10"/>
  <c r="U13" i="10"/>
  <c r="AE24" i="10"/>
  <c r="AE30" i="10"/>
  <c r="AE12" i="10"/>
  <c r="L29" i="10"/>
  <c r="L47" i="10"/>
  <c r="L20" i="10"/>
  <c r="U37" i="10"/>
  <c r="AE25" i="10"/>
  <c r="AE40" i="10"/>
  <c r="AE13" i="10"/>
  <c r="AE5" i="10"/>
  <c r="AE47" i="10"/>
  <c r="AE26" i="10"/>
  <c r="AE38" i="10"/>
  <c r="AE15" i="10"/>
  <c r="AE51" i="10"/>
  <c r="L6" i="10"/>
  <c r="L26" i="10"/>
  <c r="L56" i="10"/>
  <c r="U18" i="10"/>
  <c r="U33" i="10"/>
  <c r="U49" i="10"/>
  <c r="AE16" i="10"/>
  <c r="AE17" i="10"/>
  <c r="AE48" i="10"/>
  <c r="AE6" i="10"/>
  <c r="L16" i="10"/>
  <c r="L30" i="10"/>
  <c r="L12" i="10"/>
  <c r="L28" i="10"/>
  <c r="L5" i="10"/>
  <c r="L32" i="10"/>
  <c r="L8" i="10"/>
  <c r="U38" i="10"/>
  <c r="U5" i="10"/>
  <c r="U11" i="10"/>
  <c r="U28" i="10"/>
  <c r="U3" i="10"/>
  <c r="U19" i="10"/>
  <c r="AE35" i="10"/>
  <c r="AE32" i="10"/>
  <c r="AE53" i="10"/>
  <c r="AE27" i="10"/>
  <c r="AE21" i="10"/>
  <c r="AE18" i="10"/>
  <c r="AE45" i="10"/>
  <c r="L27" i="10"/>
  <c r="L15" i="10"/>
  <c r="L10" i="10"/>
  <c r="L4" i="10"/>
  <c r="L35" i="10"/>
  <c r="L41" i="10"/>
  <c r="L38" i="10"/>
  <c r="U10" i="10"/>
  <c r="U4" i="10"/>
  <c r="U27" i="10"/>
  <c r="AE22" i="10"/>
  <c r="AE19" i="10"/>
  <c r="AE14" i="10"/>
  <c r="AE11" i="10"/>
  <c r="AE41" i="10"/>
  <c r="AE56" i="10"/>
  <c r="AE23" i="10"/>
  <c r="AE20" i="10"/>
  <c r="BE3" i="1"/>
  <c r="AD7" i="10" s="1"/>
  <c r="BC3" i="1"/>
  <c r="AC7" i="10" s="1"/>
  <c r="BA3" i="1"/>
  <c r="AB7" i="10" s="1"/>
  <c r="AY3" i="1"/>
  <c r="AA7" i="10" s="1"/>
  <c r="AW3" i="1"/>
  <c r="Z7" i="10" s="1"/>
  <c r="AU3" i="1"/>
  <c r="Y7" i="10" s="1"/>
  <c r="AS3" i="1"/>
  <c r="X7" i="10" s="1"/>
  <c r="AQ4" i="1"/>
  <c r="W3" i="10" s="1"/>
  <c r="AE3" i="10" s="1"/>
  <c r="AQ6" i="1"/>
  <c r="W8" i="10" s="1"/>
  <c r="AE8" i="10" s="1"/>
  <c r="AQ7" i="1"/>
  <c r="W9" i="10" s="1"/>
  <c r="AE9" i="10" s="1"/>
  <c r="AQ3" i="1"/>
  <c r="W7" i="10" s="1"/>
  <c r="AE7" i="10" l="1"/>
  <c r="W2" i="2"/>
  <c r="W3" i="2"/>
  <c r="W4" i="2"/>
  <c r="W5" i="2"/>
  <c r="W6" i="2"/>
  <c r="W7" i="2"/>
  <c r="W8" i="2"/>
  <c r="W9" i="2"/>
  <c r="W10" i="2"/>
  <c r="W11" i="2"/>
  <c r="W12" i="2"/>
  <c r="W13" i="2"/>
  <c r="W14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1" i="2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3" i="1"/>
  <c r="L5" i="4"/>
  <c r="L7" i="4"/>
  <c r="L8" i="4"/>
  <c r="L9" i="4"/>
  <c r="L10" i="4"/>
  <c r="L11" i="4"/>
  <c r="L12" i="4"/>
  <c r="L13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7" i="4"/>
  <c r="L38" i="4"/>
  <c r="L39" i="4"/>
  <c r="L42" i="4"/>
  <c r="L43" i="4"/>
  <c r="L44" i="4"/>
  <c r="L45" i="4"/>
  <c r="L46" i="4"/>
  <c r="L47" i="4"/>
  <c r="L48" i="4"/>
  <c r="L49" i="4"/>
  <c r="L50" i="4"/>
  <c r="L51" i="4"/>
  <c r="L52" i="4"/>
  <c r="L56" i="4"/>
  <c r="Q2" i="4"/>
  <c r="P2" i="4"/>
  <c r="O2" i="4"/>
  <c r="L3" i="4" l="1"/>
  <c r="AN3" i="1" l="1"/>
  <c r="T7" i="10" s="1"/>
  <c r="AL3" i="1"/>
  <c r="S7" i="10" s="1"/>
  <c r="AJ3" i="1"/>
  <c r="R7" i="10" s="1"/>
  <c r="AH3" i="1"/>
  <c r="Q7" i="10" s="1"/>
  <c r="AF3" i="1"/>
  <c r="P7" i="10" s="1"/>
  <c r="AD3" i="1"/>
  <c r="O7" i="10" s="1"/>
  <c r="AB3" i="1"/>
  <c r="N7" i="10" s="1"/>
  <c r="Z3" i="1"/>
  <c r="M7" i="10" s="1"/>
  <c r="U7" i="10" l="1"/>
  <c r="X3" i="1"/>
  <c r="K7" i="10" s="1"/>
  <c r="V3" i="1"/>
  <c r="J7" i="10" s="1"/>
  <c r="T3" i="1"/>
  <c r="I7" i="10" s="1"/>
  <c r="R3" i="1"/>
  <c r="H7" i="10" s="1"/>
  <c r="P3" i="1" l="1"/>
  <c r="G7" i="10" s="1"/>
  <c r="N3" i="1" l="1"/>
  <c r="F7" i="10" s="1"/>
  <c r="L3" i="1"/>
  <c r="E7" i="10" s="1"/>
  <c r="C7" i="10"/>
  <c r="B7" i="10"/>
  <c r="L7" i="10" l="1"/>
  <c r="P42" i="4"/>
  <c r="U42" i="4" s="1"/>
  <c r="P5" i="4"/>
  <c r="U5" i="4" s="1"/>
  <c r="P9" i="4"/>
  <c r="U9" i="4" s="1"/>
  <c r="P13" i="4"/>
  <c r="U13" i="4" s="1"/>
  <c r="P17" i="4"/>
  <c r="U17" i="4" s="1"/>
  <c r="P21" i="4"/>
  <c r="U21" i="4" s="1"/>
  <c r="P25" i="4"/>
  <c r="U25" i="4" s="1"/>
  <c r="P29" i="4"/>
  <c r="U29" i="4" s="1"/>
  <c r="P33" i="4"/>
  <c r="U33" i="4" s="1"/>
  <c r="P37" i="4"/>
  <c r="U37" i="4" s="1"/>
  <c r="P41" i="4"/>
  <c r="U41" i="4" s="1"/>
  <c r="P45" i="4"/>
  <c r="U45" i="4" s="1"/>
  <c r="P49" i="4"/>
  <c r="U49" i="4" s="1"/>
  <c r="P53" i="4"/>
  <c r="U53" i="4" s="1"/>
  <c r="P3" i="4"/>
  <c r="U3" i="4" s="1"/>
  <c r="O7" i="4"/>
  <c r="T7" i="4" s="1"/>
  <c r="O11" i="4"/>
  <c r="T11" i="4" s="1"/>
  <c r="O15" i="4"/>
  <c r="T15" i="4" s="1"/>
  <c r="O19" i="4"/>
  <c r="T19" i="4" s="1"/>
  <c r="O23" i="4"/>
  <c r="T23" i="4" s="1"/>
  <c r="O27" i="4"/>
  <c r="T27" i="4" s="1"/>
  <c r="O31" i="4"/>
  <c r="T31" i="4" s="1"/>
  <c r="O35" i="4"/>
  <c r="T35" i="4" s="1"/>
  <c r="O39" i="4"/>
  <c r="T39" i="4" s="1"/>
  <c r="O43" i="4"/>
  <c r="T43" i="4" s="1"/>
  <c r="O47" i="4"/>
  <c r="T47" i="4" s="1"/>
  <c r="O51" i="4"/>
  <c r="T51" i="4" s="1"/>
  <c r="O55" i="4"/>
  <c r="T55" i="4" s="1"/>
  <c r="O13" i="4"/>
  <c r="T13" i="4" s="1"/>
  <c r="O21" i="4"/>
  <c r="T21" i="4" s="1"/>
  <c r="O29" i="4"/>
  <c r="T29" i="4" s="1"/>
  <c r="O33" i="4"/>
  <c r="T33" i="4" s="1"/>
  <c r="O41" i="4"/>
  <c r="T41" i="4" s="1"/>
  <c r="O53" i="4"/>
  <c r="T53" i="4" s="1"/>
  <c r="P6" i="4"/>
  <c r="U6" i="4" s="1"/>
  <c r="P10" i="4"/>
  <c r="U10" i="4" s="1"/>
  <c r="P14" i="4"/>
  <c r="U14" i="4" s="1"/>
  <c r="P18" i="4"/>
  <c r="U18" i="4" s="1"/>
  <c r="P22" i="4"/>
  <c r="U22" i="4" s="1"/>
  <c r="P26" i="4"/>
  <c r="U26" i="4" s="1"/>
  <c r="P30" i="4"/>
  <c r="U30" i="4" s="1"/>
  <c r="P34" i="4"/>
  <c r="U34" i="4" s="1"/>
  <c r="P38" i="4"/>
  <c r="U38" i="4" s="1"/>
  <c r="P46" i="4"/>
  <c r="U46" i="4" s="1"/>
  <c r="P50" i="4"/>
  <c r="U50" i="4" s="1"/>
  <c r="P54" i="4"/>
  <c r="U54" i="4" s="1"/>
  <c r="O4" i="4"/>
  <c r="T4" i="4" s="1"/>
  <c r="O8" i="4"/>
  <c r="T8" i="4" s="1"/>
  <c r="O12" i="4"/>
  <c r="T12" i="4" s="1"/>
  <c r="O16" i="4"/>
  <c r="T16" i="4" s="1"/>
  <c r="O20" i="4"/>
  <c r="T20" i="4" s="1"/>
  <c r="O24" i="4"/>
  <c r="T24" i="4" s="1"/>
  <c r="O28" i="4"/>
  <c r="T28" i="4" s="1"/>
  <c r="O32" i="4"/>
  <c r="T32" i="4" s="1"/>
  <c r="O36" i="4"/>
  <c r="T36" i="4" s="1"/>
  <c r="O40" i="4"/>
  <c r="T40" i="4" s="1"/>
  <c r="O44" i="4"/>
  <c r="T44" i="4" s="1"/>
  <c r="O48" i="4"/>
  <c r="T48" i="4" s="1"/>
  <c r="O52" i="4"/>
  <c r="T52" i="4" s="1"/>
  <c r="O56" i="4"/>
  <c r="T56" i="4" s="1"/>
  <c r="P7" i="4"/>
  <c r="U7" i="4" s="1"/>
  <c r="P11" i="4"/>
  <c r="U11" i="4" s="1"/>
  <c r="P15" i="4"/>
  <c r="U15" i="4" s="1"/>
  <c r="P19" i="4"/>
  <c r="U19" i="4" s="1"/>
  <c r="P23" i="4"/>
  <c r="U23" i="4" s="1"/>
  <c r="P27" i="4"/>
  <c r="U27" i="4" s="1"/>
  <c r="P31" i="4"/>
  <c r="U31" i="4" s="1"/>
  <c r="P35" i="4"/>
  <c r="U35" i="4" s="1"/>
  <c r="P39" i="4"/>
  <c r="U39" i="4" s="1"/>
  <c r="P43" i="4"/>
  <c r="U43" i="4" s="1"/>
  <c r="P47" i="4"/>
  <c r="U47" i="4" s="1"/>
  <c r="P51" i="4"/>
  <c r="U51" i="4" s="1"/>
  <c r="P55" i="4"/>
  <c r="U55" i="4" s="1"/>
  <c r="O5" i="4"/>
  <c r="T5" i="4" s="1"/>
  <c r="O9" i="4"/>
  <c r="T9" i="4" s="1"/>
  <c r="O17" i="4"/>
  <c r="T17" i="4" s="1"/>
  <c r="O25" i="4"/>
  <c r="T25" i="4" s="1"/>
  <c r="O37" i="4"/>
  <c r="T37" i="4" s="1"/>
  <c r="O45" i="4"/>
  <c r="T45" i="4" s="1"/>
  <c r="O49" i="4"/>
  <c r="T49" i="4" s="1"/>
  <c r="P8" i="4"/>
  <c r="U8" i="4" s="1"/>
  <c r="P24" i="4"/>
  <c r="U24" i="4" s="1"/>
  <c r="P40" i="4"/>
  <c r="U40" i="4" s="1"/>
  <c r="P56" i="4"/>
  <c r="U56" i="4" s="1"/>
  <c r="O18" i="4"/>
  <c r="T18" i="4" s="1"/>
  <c r="O34" i="4"/>
  <c r="T34" i="4" s="1"/>
  <c r="O50" i="4"/>
  <c r="T50" i="4" s="1"/>
  <c r="O54" i="4"/>
  <c r="T54" i="4" s="1"/>
  <c r="P16" i="4"/>
  <c r="U16" i="4" s="1"/>
  <c r="P48" i="4"/>
  <c r="U48" i="4" s="1"/>
  <c r="O26" i="4"/>
  <c r="T26" i="4" s="1"/>
  <c r="O3" i="4"/>
  <c r="T3" i="4" s="1"/>
  <c r="P20" i="4"/>
  <c r="U20" i="4" s="1"/>
  <c r="P52" i="4"/>
  <c r="U52" i="4" s="1"/>
  <c r="O30" i="4"/>
  <c r="T30" i="4" s="1"/>
  <c r="P12" i="4"/>
  <c r="U12" i="4" s="1"/>
  <c r="P28" i="4"/>
  <c r="U28" i="4" s="1"/>
  <c r="P44" i="4"/>
  <c r="U44" i="4" s="1"/>
  <c r="O6" i="4"/>
  <c r="T6" i="4" s="1"/>
  <c r="O22" i="4"/>
  <c r="T22" i="4" s="1"/>
  <c r="O38" i="4"/>
  <c r="T38" i="4" s="1"/>
  <c r="P32" i="4"/>
  <c r="U32" i="4" s="1"/>
  <c r="O10" i="4"/>
  <c r="T10" i="4" s="1"/>
  <c r="O42" i="4"/>
  <c r="T42" i="4" s="1"/>
  <c r="P4" i="4"/>
  <c r="U4" i="4" s="1"/>
  <c r="P36" i="4"/>
  <c r="U36" i="4" s="1"/>
  <c r="O14" i="4"/>
  <c r="T14" i="4" s="1"/>
  <c r="O46" i="4"/>
  <c r="T46" i="4" s="1"/>
  <c r="Q50" i="4"/>
  <c r="V50" i="4" s="1"/>
  <c r="Q49" i="4"/>
  <c r="V49" i="4" s="1"/>
  <c r="Q56" i="4"/>
  <c r="V56" i="4" s="1"/>
  <c r="Q28" i="4"/>
  <c r="V28" i="4" s="1"/>
  <c r="Q48" i="4"/>
  <c r="V48" i="4" s="1"/>
  <c r="Q51" i="4"/>
  <c r="V51" i="4" s="1"/>
  <c r="Q19" i="4"/>
  <c r="V19" i="4" s="1"/>
  <c r="Q52" i="4"/>
  <c r="V52" i="4" s="1"/>
  <c r="Q47" i="4"/>
  <c r="V47" i="4" s="1"/>
  <c r="Q35" i="4" l="1"/>
  <c r="V35" i="4" s="1"/>
  <c r="Q44" i="4"/>
  <c r="V44" i="4" s="1"/>
  <c r="Q12" i="4"/>
  <c r="V12" i="4" s="1"/>
  <c r="Q34" i="4"/>
  <c r="V34" i="4" s="1"/>
  <c r="Q13" i="4"/>
  <c r="V13" i="4" s="1"/>
  <c r="Q45" i="4"/>
  <c r="V45" i="4" s="1"/>
  <c r="Q23" i="4"/>
  <c r="V23" i="4" s="1"/>
  <c r="Q17" i="4"/>
  <c r="V17" i="4" s="1"/>
  <c r="Q10" i="4"/>
  <c r="V10" i="4" s="1"/>
  <c r="Q46" i="4"/>
  <c r="V46" i="4" s="1"/>
  <c r="Q16" i="4"/>
  <c r="V16" i="4" s="1"/>
  <c r="Q43" i="4"/>
  <c r="V43" i="4" s="1"/>
  <c r="Q20" i="4"/>
  <c r="V20" i="4" s="1"/>
  <c r="Q39" i="4"/>
  <c r="V39" i="4" s="1"/>
  <c r="Q55" i="4"/>
  <c r="V55" i="4" s="1"/>
  <c r="Q24" i="4"/>
  <c r="V24" i="4" s="1"/>
  <c r="Q4" i="4"/>
  <c r="V4" i="4" s="1"/>
  <c r="Q37" i="4"/>
  <c r="V37" i="4" s="1"/>
  <c r="Q18" i="4"/>
  <c r="V18" i="4" s="1"/>
  <c r="Q38" i="4"/>
  <c r="V38" i="4" s="1"/>
  <c r="Q14" i="4"/>
  <c r="V14" i="4" s="1"/>
  <c r="Q53" i="4"/>
  <c r="V53" i="4" s="1"/>
  <c r="Q25" i="4"/>
  <c r="V25" i="4" s="1"/>
  <c r="Q6" i="4"/>
  <c r="V6" i="4" s="1"/>
  <c r="Q29" i="4"/>
  <c r="V29" i="4" s="1"/>
  <c r="Q32" i="4"/>
  <c r="V32" i="4" s="1"/>
  <c r="Q42" i="4"/>
  <c r="V42" i="4" s="1"/>
  <c r="Q33" i="4"/>
  <c r="V33" i="4" s="1"/>
  <c r="Q31" i="4"/>
  <c r="V31" i="4" s="1"/>
  <c r="Q21" i="4"/>
  <c r="V21" i="4" s="1"/>
  <c r="Q26" i="4"/>
  <c r="V26" i="4" s="1"/>
  <c r="Q3" i="4"/>
  <c r="V3" i="4" s="1"/>
  <c r="Q5" i="4"/>
  <c r="V5" i="4" s="1"/>
  <c r="Q7" i="4"/>
  <c r="V7" i="4" s="1"/>
  <c r="Q36" i="4"/>
  <c r="V36" i="4" s="1"/>
  <c r="Q54" i="4"/>
  <c r="V54" i="4" s="1"/>
  <c r="Q22" i="4"/>
  <c r="V22" i="4" s="1"/>
  <c r="Q27" i="4"/>
  <c r="V27" i="4" s="1"/>
  <c r="Q15" i="4"/>
  <c r="V15" i="4" s="1"/>
  <c r="Q8" i="4"/>
  <c r="V8" i="4" s="1"/>
  <c r="Q40" i="4"/>
  <c r="V40" i="4" s="1"/>
  <c r="Q9" i="4"/>
  <c r="V9" i="4" s="1"/>
  <c r="Q41" i="4"/>
  <c r="V41" i="4" s="1"/>
  <c r="Q30" i="4"/>
  <c r="V30" i="4" s="1"/>
  <c r="Q11" i="4"/>
  <c r="V11" i="4" s="1"/>
  <c r="L4" i="4"/>
  <c r="M4" i="4" s="1"/>
  <c r="M32" i="4"/>
  <c r="M11" i="4"/>
  <c r="M31" i="4"/>
  <c r="M23" i="4"/>
  <c r="M56" i="4"/>
  <c r="N56" i="4" s="1"/>
  <c r="M50" i="4"/>
  <c r="M45" i="4"/>
  <c r="M46" i="4"/>
  <c r="M21" i="4"/>
  <c r="M38" i="4"/>
  <c r="M29" i="4"/>
  <c r="M26" i="4"/>
  <c r="M39" i="4"/>
  <c r="M7" i="4"/>
  <c r="M47" i="4"/>
  <c r="M13" i="4"/>
  <c r="M18" i="4"/>
  <c r="M22" i="4"/>
  <c r="M35" i="4"/>
  <c r="L55" i="4"/>
  <c r="M55" i="4" s="1"/>
  <c r="M51" i="4"/>
  <c r="M28" i="4"/>
  <c r="M37" i="4"/>
  <c r="L41" i="4"/>
  <c r="M41" i="4" s="1"/>
  <c r="M43" i="4"/>
  <c r="M24" i="4"/>
  <c r="M40" i="4"/>
  <c r="M20" i="4"/>
  <c r="M10" i="4"/>
  <c r="M52" i="4"/>
  <c r="M9" i="4"/>
  <c r="M14" i="4"/>
  <c r="M8" i="4"/>
  <c r="M16" i="4"/>
  <c r="M15" i="4"/>
  <c r="M48" i="4"/>
  <c r="M49" i="4"/>
  <c r="M5" i="4"/>
  <c r="M12" i="4"/>
  <c r="M25" i="4"/>
  <c r="M42" i="4"/>
  <c r="M17" i="4"/>
  <c r="L54" i="4"/>
  <c r="M54" i="4" s="1"/>
  <c r="M44" i="4"/>
  <c r="M33" i="4"/>
  <c r="M27" i="4"/>
  <c r="M19" i="4"/>
  <c r="L6" i="4"/>
  <c r="M6" i="4" s="1"/>
  <c r="M30" i="4"/>
  <c r="M34" i="4"/>
  <c r="L36" i="4"/>
  <c r="M36" i="4" s="1"/>
  <c r="M3" i="4"/>
  <c r="L53" i="4"/>
  <c r="M53" i="4" s="1"/>
  <c r="W35" i="4" l="1"/>
  <c r="W54" i="4"/>
  <c r="W53" i="4"/>
  <c r="N6" i="4"/>
  <c r="W6" i="4"/>
  <c r="N41" i="4"/>
  <c r="W41" i="4"/>
  <c r="N55" i="4"/>
  <c r="W55" i="4"/>
  <c r="N36" i="4"/>
  <c r="W36" i="4"/>
  <c r="W46" i="4"/>
  <c r="W10" i="4"/>
  <c r="W43" i="4"/>
  <c r="W45" i="4"/>
  <c r="W14" i="4"/>
  <c r="N14" i="4"/>
  <c r="W27" i="4"/>
  <c r="N10" i="4"/>
  <c r="N5" i="4"/>
  <c r="W5" i="4"/>
  <c r="N37" i="4"/>
  <c r="W37" i="4"/>
  <c r="N4" i="4"/>
  <c r="W4" i="4"/>
  <c r="N25" i="4"/>
  <c r="W25" i="4"/>
  <c r="N18" i="4"/>
  <c r="W18" i="4"/>
  <c r="N21" i="4"/>
  <c r="W21" i="4"/>
  <c r="W11" i="4"/>
  <c r="N19" i="4"/>
  <c r="W19" i="4"/>
  <c r="N12" i="4"/>
  <c r="W12" i="4"/>
  <c r="N9" i="4"/>
  <c r="W9" i="4"/>
  <c r="W13" i="4"/>
  <c r="N32" i="4"/>
  <c r="W32" i="4"/>
  <c r="R47" i="4"/>
  <c r="W47" i="4"/>
  <c r="R28" i="4"/>
  <c r="W28" i="4"/>
  <c r="N39" i="4"/>
  <c r="W39" i="4"/>
  <c r="N15" i="4"/>
  <c r="W15" i="4"/>
  <c r="N20" i="4"/>
  <c r="W20" i="4"/>
  <c r="R56" i="4"/>
  <c r="W56" i="4"/>
  <c r="N52" i="4"/>
  <c r="W52" i="4"/>
  <c r="R48" i="4"/>
  <c r="W48" i="4"/>
  <c r="N26" i="4"/>
  <c r="W26" i="4"/>
  <c r="W34" i="4"/>
  <c r="W17" i="4"/>
  <c r="N16" i="4"/>
  <c r="W16" i="4"/>
  <c r="N40" i="4"/>
  <c r="W40" i="4"/>
  <c r="N29" i="4"/>
  <c r="W29" i="4"/>
  <c r="N23" i="4"/>
  <c r="W23" i="4"/>
  <c r="N33" i="4"/>
  <c r="W33" i="4"/>
  <c r="N49" i="4"/>
  <c r="W49" i="4"/>
  <c r="N7" i="4"/>
  <c r="W7" i="4"/>
  <c r="N50" i="4"/>
  <c r="W50" i="4"/>
  <c r="N3" i="4"/>
  <c r="W3" i="4"/>
  <c r="N44" i="4"/>
  <c r="W44" i="4"/>
  <c r="R51" i="4"/>
  <c r="W51" i="4"/>
  <c r="W30" i="4"/>
  <c r="N42" i="4"/>
  <c r="W42" i="4"/>
  <c r="N8" i="4"/>
  <c r="W8" i="4"/>
  <c r="N24" i="4"/>
  <c r="W24" i="4"/>
  <c r="N22" i="4"/>
  <c r="W22" i="4"/>
  <c r="N38" i="4"/>
  <c r="W38" i="4"/>
  <c r="N31" i="4"/>
  <c r="W31" i="4"/>
  <c r="R35" i="4"/>
  <c r="R45" i="4"/>
  <c r="R17" i="4"/>
  <c r="R34" i="4"/>
  <c r="R21" i="4"/>
  <c r="R13" i="4"/>
  <c r="R29" i="4"/>
  <c r="R12" i="4"/>
  <c r="R10" i="4"/>
  <c r="R46" i="4"/>
  <c r="R54" i="4"/>
  <c r="R30" i="4"/>
  <c r="R14" i="4"/>
  <c r="R11" i="4"/>
  <c r="R39" i="4"/>
  <c r="R33" i="4"/>
  <c r="N28" i="4"/>
  <c r="R23" i="4"/>
  <c r="R18" i="4"/>
  <c r="R43" i="4"/>
  <c r="N34" i="4"/>
  <c r="R27" i="4"/>
  <c r="N48" i="4"/>
  <c r="N13" i="4"/>
  <c r="N11" i="4"/>
  <c r="R15" i="4"/>
  <c r="R26" i="4"/>
  <c r="R25" i="4"/>
  <c r="R42" i="4"/>
  <c r="R4" i="4"/>
  <c r="N30" i="4"/>
  <c r="R52" i="4"/>
  <c r="R37" i="4"/>
  <c r="R5" i="4"/>
  <c r="R22" i="4"/>
  <c r="R6" i="4"/>
  <c r="R19" i="4"/>
  <c r="N27" i="4"/>
  <c r="R16" i="4"/>
  <c r="N35" i="4"/>
  <c r="R50" i="4"/>
  <c r="R7" i="4"/>
  <c r="R38" i="4"/>
  <c r="R24" i="4"/>
  <c r="N54" i="4"/>
  <c r="R36" i="4"/>
  <c r="R41" i="4"/>
  <c r="N46" i="4"/>
  <c r="R9" i="4"/>
  <c r="R40" i="4"/>
  <c r="R3" i="4"/>
  <c r="R32" i="4"/>
  <c r="R49" i="4"/>
  <c r="R8" i="4"/>
  <c r="R20" i="4"/>
  <c r="R31" i="4"/>
  <c r="R55" i="4"/>
  <c r="R53" i="4"/>
  <c r="N53" i="4"/>
  <c r="N47" i="4"/>
  <c r="N45" i="4"/>
  <c r="R44" i="4"/>
  <c r="N17" i="4"/>
  <c r="N43" i="4"/>
  <c r="N51" i="4"/>
</calcChain>
</file>

<file path=xl/sharedStrings.xml><?xml version="1.0" encoding="utf-8"?>
<sst xmlns="http://schemas.openxmlformats.org/spreadsheetml/2006/main" count="942" uniqueCount="246">
  <si>
    <t>District Name</t>
  </si>
  <si>
    <t>Minimum Municipal Capacity</t>
  </si>
  <si>
    <t>Minimum Service Capacity</t>
  </si>
  <si>
    <t>Minimum for hazard</t>
  </si>
  <si>
    <t>Notes</t>
  </si>
  <si>
    <t>Additional Sources of information</t>
  </si>
  <si>
    <t>Contact Person</t>
  </si>
  <si>
    <t>Number</t>
  </si>
  <si>
    <t>No</t>
  </si>
  <si>
    <t>Hazard Category</t>
  </si>
  <si>
    <t>Special Considerations</t>
  </si>
  <si>
    <t>Vul_Water</t>
  </si>
  <si>
    <t>Vul_Toilet</t>
  </si>
  <si>
    <t>Vul_Refuse</t>
  </si>
  <si>
    <t>Vul_Dwelling</t>
  </si>
  <si>
    <t>Vul_Energy</t>
  </si>
  <si>
    <t>Vul_Age</t>
  </si>
  <si>
    <t>Vul_Income</t>
  </si>
  <si>
    <t>Total Vulnerability</t>
  </si>
  <si>
    <t>Vulnerabilty Rating</t>
  </si>
  <si>
    <t>Risk</t>
  </si>
  <si>
    <t>Rank</t>
  </si>
  <si>
    <t>Municipal Capacity (40)</t>
  </si>
  <si>
    <t>Service Capacity (40)</t>
  </si>
  <si>
    <t>Total for hazard (50)</t>
  </si>
  <si>
    <t>Risk with 0 taken into account</t>
  </si>
  <si>
    <t>Civil Unrest - Armed Conflict (Civil/Political War)</t>
  </si>
  <si>
    <t>Civil Unrest - Crime</t>
  </si>
  <si>
    <t>Civil Unrest - Demonstrations / Riots</t>
  </si>
  <si>
    <t>Civil Unrest - Refugees / Displaced People</t>
  </si>
  <si>
    <t>Civil Unrest - Terrorism</t>
  </si>
  <si>
    <t>Civil Unrest - Xenophobic Violence</t>
  </si>
  <si>
    <t>Disease / Health - Disease: Animal</t>
  </si>
  <si>
    <t>Disease / Health - Disease: Human</t>
  </si>
  <si>
    <t>Disease / Health - Disease: Plants</t>
  </si>
  <si>
    <t>Environmental Degradation - Deforestation</t>
  </si>
  <si>
    <t>Environmental Degradation - Erosion</t>
  </si>
  <si>
    <t>Environmental Degradation - Land Degradation</t>
  </si>
  <si>
    <t>Environmental Degradation - Loss of Biodiversity</t>
  </si>
  <si>
    <t>Fire Hazards - Formal &amp; Informal Settlements / Urban Area</t>
  </si>
  <si>
    <t>Fire Hazards - Veld/Forest Fires</t>
  </si>
  <si>
    <t>Geological Hazards - Earthquake</t>
  </si>
  <si>
    <t>Geological Hazards - Landslides/Mud flows</t>
  </si>
  <si>
    <t>Geological Hazards - Rock-fall</t>
  </si>
  <si>
    <t>Geological Hazards - Subsidence</t>
  </si>
  <si>
    <t>Hazardous Material - Fire/Explosion (Storage &amp; Transportation)</t>
  </si>
  <si>
    <t>Hazardous Material - Spill/Release (Storage &amp; Transportation)</t>
  </si>
  <si>
    <t>Hydro-meteorological - Drought</t>
  </si>
  <si>
    <t>Hydro-meteorological Hazards - Desertification</t>
  </si>
  <si>
    <t>Hydro-meteorological Hazards - Extreme Temperatures</t>
  </si>
  <si>
    <t>Hydro-meteorological Hazards - Floods (River, Urban &amp; Dam Failure)</t>
  </si>
  <si>
    <t>Hydro-meteorological Hazards - Severe Storms (Wind, Hail, Snow, Lightning, Fog)</t>
  </si>
  <si>
    <t>Infestations - Algal Bloom (Red Tide)</t>
  </si>
  <si>
    <t>Infestations - Animal Infestation / Over Population</t>
  </si>
  <si>
    <t>Infestations - Insect Infestation</t>
  </si>
  <si>
    <t>Infestations - Plant Infestations (Intruder Plants)</t>
  </si>
  <si>
    <t>Infrastructure Failure / Service Delivery Failure - Electrical</t>
  </si>
  <si>
    <t>Infrastructure Failure / Service Delivery Failure - Gas</t>
  </si>
  <si>
    <t>Infrastructure Failure / Service Delivery Failure - Information Technology</t>
  </si>
  <si>
    <t>Infrastructure Failure / Service Delivery Failure - Sanitation</t>
  </si>
  <si>
    <t>Infrastructure Failure / Service Delivery Failure - Transport</t>
  </si>
  <si>
    <t>Infrastructure Failure / Service Delivery Failure - Water</t>
  </si>
  <si>
    <t>Major Event Hazards - Cultural / Religious</t>
  </si>
  <si>
    <t>Major Event Hazards - Political</t>
  </si>
  <si>
    <t>Major Event Hazards - Recreational / Commercial</t>
  </si>
  <si>
    <t>Major Event Hazards - Sport</t>
  </si>
  <si>
    <t>Oceanographic - Sea Level Rise (Climate Change)</t>
  </si>
  <si>
    <t>Oceanographic - Storm Surge</t>
  </si>
  <si>
    <t>Oceanographic - Tsunami</t>
  </si>
  <si>
    <t>Other - Space Objects</t>
  </si>
  <si>
    <t>Pollution - Air Pollution</t>
  </si>
  <si>
    <t>Pollution - Land Pollution</t>
  </si>
  <si>
    <t>Pollution - Water Pollution (Fresh and Sea)</t>
  </si>
  <si>
    <t>Structural Failure - Bridge Failure</t>
  </si>
  <si>
    <t>Structural Failure - Building Failure</t>
  </si>
  <si>
    <t>Structural Failure - Dam failure</t>
  </si>
  <si>
    <t>Transport Hazards - Air Transportation</t>
  </si>
  <si>
    <t>Transport Hazards - Rail Transportation</t>
  </si>
  <si>
    <t>Transport Hazards - Road Transportation</t>
  </si>
  <si>
    <t>Transport Hazards - Water Transportation (Incl Marine Accident)</t>
  </si>
  <si>
    <t>Hazard</t>
  </si>
  <si>
    <t>Capacity to deal with</t>
  </si>
  <si>
    <t>Has any of these hazards in your area?</t>
  </si>
  <si>
    <t>Vulnerability considerations</t>
  </si>
  <si>
    <t>Affected areas (grid reference)</t>
  </si>
  <si>
    <t>Occurred in the past</t>
  </si>
  <si>
    <t xml:space="preserve">Is the frequency </t>
  </si>
  <si>
    <t>Duration of hazard</t>
  </si>
  <si>
    <t>Area of Impact of hazard</t>
  </si>
  <si>
    <t>Impact on People</t>
  </si>
  <si>
    <t>Impact on infrastucture</t>
  </si>
  <si>
    <t>Impact on environment</t>
  </si>
  <si>
    <t>Impact on economy</t>
  </si>
  <si>
    <t>Predictability</t>
  </si>
  <si>
    <t>Priority / Urgency</t>
  </si>
  <si>
    <t>Human Resources</t>
  </si>
  <si>
    <t>Experience &amp; Special knowledge</t>
  </si>
  <si>
    <t>Vehicles</t>
  </si>
  <si>
    <t>Equipment</t>
  </si>
  <si>
    <t>Funding</t>
  </si>
  <si>
    <t>Facilities / Buildings</t>
  </si>
  <si>
    <t>Prevention, Mitigation &amp; Risk Reduction Plans, Policies &amp; Programmes</t>
  </si>
  <si>
    <t>Response &amp; Recovery Plans, Policies &amp; Programmes</t>
  </si>
  <si>
    <t>Other Services dealing with hazard</t>
  </si>
  <si>
    <t>Staff / Human Resources</t>
  </si>
  <si>
    <t>3 -Has Occurred but only a few times or rarely</t>
  </si>
  <si>
    <t>2 - Stable</t>
  </si>
  <si>
    <t>Not applicable</t>
  </si>
  <si>
    <t>0 - Not applicable</t>
  </si>
  <si>
    <t>0 - No impact / Not applicable</t>
  </si>
  <si>
    <t>0 - Not applicable / No effects</t>
  </si>
  <si>
    <t>0 - No disruption</t>
  </si>
  <si>
    <t>0 - Not Applicable</t>
  </si>
  <si>
    <t>0 - Has not occurred and has no chance of occurrence</t>
  </si>
  <si>
    <t>0 - Unknown / Not applicable</t>
  </si>
  <si>
    <t>Agriculture</t>
  </si>
  <si>
    <t>4 - Has Occurred regularly or at least once a year</t>
  </si>
  <si>
    <t>5 - Few Months</t>
  </si>
  <si>
    <t>1 - Insufficient / unable to cope</t>
  </si>
  <si>
    <t>2 - Sometimes incapable of coping</t>
  </si>
  <si>
    <t>4 - Increasing</t>
  </si>
  <si>
    <t>3 - Few Wards</t>
  </si>
  <si>
    <t>4 - Fatalities / Serious health problems but confined</t>
  </si>
  <si>
    <t>Services</t>
  </si>
  <si>
    <t>SAPS</t>
  </si>
  <si>
    <t>Fire Brigade Services</t>
  </si>
  <si>
    <t>Ambulance Services</t>
  </si>
  <si>
    <t>Health Department</t>
  </si>
  <si>
    <t>Traffic Department</t>
  </si>
  <si>
    <t>Social Development</t>
  </si>
  <si>
    <t>Housing</t>
  </si>
  <si>
    <t>Disaster Management</t>
  </si>
  <si>
    <t>Water &amp; sanitation</t>
  </si>
  <si>
    <t>Home Affairs</t>
  </si>
  <si>
    <t>SANRAL</t>
  </si>
  <si>
    <t>ESKOM</t>
  </si>
  <si>
    <t>Occurrence in the past</t>
  </si>
  <si>
    <t>Frequency</t>
  </si>
  <si>
    <t>Area Impact of hazard</t>
  </si>
  <si>
    <t>Impact on people</t>
  </si>
  <si>
    <t>Impact on infrastructure and services</t>
  </si>
  <si>
    <t>Economic Disruption</t>
  </si>
  <si>
    <t>Urgency / Priority</t>
  </si>
  <si>
    <t>Capacity / Manageability</t>
  </si>
  <si>
    <t>Probability</t>
  </si>
  <si>
    <t>Intensity</t>
  </si>
  <si>
    <t>Vulnerability Considerations</t>
  </si>
  <si>
    <t>5- More than sufficient</t>
  </si>
  <si>
    <t>0 -Not applicable</t>
  </si>
  <si>
    <t>0 - No impact</t>
  </si>
  <si>
    <t>Not Applicable</t>
  </si>
  <si>
    <t>1 - Has not occurred but there is real potential for occurrence</t>
  </si>
  <si>
    <t>1 - Decreasing</t>
  </si>
  <si>
    <t>1 - Single Property</t>
  </si>
  <si>
    <t>1 - Low impact / Discomfort</t>
  </si>
  <si>
    <t>1 - Low impact / Minor damage / Minor disruption</t>
  </si>
  <si>
    <t>1 - Few Minutes</t>
  </si>
  <si>
    <t>1 - Minor effects</t>
  </si>
  <si>
    <t>1 - Some disruption</t>
  </si>
  <si>
    <t>1 - Effective early warning</t>
  </si>
  <si>
    <t>1 - Low Priority</t>
  </si>
  <si>
    <t xml:space="preserve">4 - Just sufficient </t>
  </si>
  <si>
    <t>1 - Very unlikely</t>
  </si>
  <si>
    <t xml:space="preserve">1 - Low </t>
  </si>
  <si>
    <t>Applicable</t>
  </si>
  <si>
    <t>2 - Has occurred but only once</t>
  </si>
  <si>
    <t>2 - Single Ward</t>
  </si>
  <si>
    <t>2 - Minimal impact / minor injuries</t>
  </si>
  <si>
    <t>2 - Some structural damage / Short term disruption of services</t>
  </si>
  <si>
    <t>2 - Few Hours</t>
  </si>
  <si>
    <t>2 - Medium effects</t>
  </si>
  <si>
    <t>2 - Medium disruption</t>
  </si>
  <si>
    <t>3 - Partially early warning</t>
  </si>
  <si>
    <t>2  - Medium Priority</t>
  </si>
  <si>
    <t>2 - Low probability</t>
  </si>
  <si>
    <t>2 - Medium low</t>
  </si>
  <si>
    <t>High Vulnerability</t>
  </si>
  <si>
    <t>3 - Marginally increasing</t>
  </si>
  <si>
    <t>3 - Serious injuries / health problems no fatalities</t>
  </si>
  <si>
    <t>3 - Medium structural damage / 1 Week disruption</t>
  </si>
  <si>
    <t>3 - Few Days</t>
  </si>
  <si>
    <t>3 - Severe effects</t>
  </si>
  <si>
    <t>3 - Severe short term disruption</t>
  </si>
  <si>
    <t>5 - No early warning</t>
  </si>
  <si>
    <t>3 - Medium High Priority</t>
  </si>
  <si>
    <t>3 - 50 / 50 Medium probability</t>
  </si>
  <si>
    <t>3 - Medium</t>
  </si>
  <si>
    <t>4 - Entire Municipality</t>
  </si>
  <si>
    <t>4 - Serious structural damage / Disruption of longer than a week</t>
  </si>
  <si>
    <t>4 - Few Weeks</t>
  </si>
  <si>
    <t>4 - Severe effects over wide area</t>
  </si>
  <si>
    <t>4 - Severe long term disruption</t>
  </si>
  <si>
    <t>4 - High Priority</t>
  </si>
  <si>
    <t>4 - Probable</t>
  </si>
  <si>
    <t>4 - Medium high</t>
  </si>
  <si>
    <t>5 - Occurs multiply times during a single year</t>
  </si>
  <si>
    <t>5 - Increasing rapidly</t>
  </si>
  <si>
    <t>5 - Larger area than Municipality</t>
  </si>
  <si>
    <t>5 - Multiple fatalities  spread over wide area</t>
  </si>
  <si>
    <t>5 - Total disruption of structure / Disruption of longer than a month</t>
  </si>
  <si>
    <t>5 - Total Destruction</t>
  </si>
  <si>
    <t>5 - Total stop in activities</t>
  </si>
  <si>
    <t>5 - Very High Priority</t>
  </si>
  <si>
    <t>5 - Higly Probable / Occurs frequently</t>
  </si>
  <si>
    <t>5 - High</t>
  </si>
  <si>
    <t>Transport</t>
  </si>
  <si>
    <t>Name</t>
  </si>
  <si>
    <t>Representative</t>
  </si>
  <si>
    <t>Chamber of Commerce</t>
  </si>
  <si>
    <t>Community/Private</t>
  </si>
  <si>
    <t>Clinic - Private</t>
  </si>
  <si>
    <t>Clinic - Public</t>
  </si>
  <si>
    <t>Government/Municipal</t>
  </si>
  <si>
    <t>Community Representative (Community Development Workers)</t>
  </si>
  <si>
    <t>Community</t>
  </si>
  <si>
    <t>Community Representative (Councillors)</t>
  </si>
  <si>
    <t>Department of Agriculture</t>
  </si>
  <si>
    <t>Department of Home Affairs</t>
  </si>
  <si>
    <t>Department of Housing</t>
  </si>
  <si>
    <t>Department of Water Affairs &amp; Forestry</t>
  </si>
  <si>
    <t>Electricity Department</t>
  </si>
  <si>
    <t>Emergency Medical Services - Private</t>
  </si>
  <si>
    <t>Emergency Medical Services - Public</t>
  </si>
  <si>
    <t>Fire Committees (FPAs)</t>
  </si>
  <si>
    <t>Fire Service</t>
  </si>
  <si>
    <t>Hospital - Private</t>
  </si>
  <si>
    <t>Hospital - Public</t>
  </si>
  <si>
    <t>Metro Police / Traffic Department</t>
  </si>
  <si>
    <t>Non-Governmental Organizations</t>
  </si>
  <si>
    <t>Red Cross</t>
  </si>
  <si>
    <t>Religious Organization</t>
  </si>
  <si>
    <t>Representative from Airport / ACSA</t>
  </si>
  <si>
    <t>Private</t>
  </si>
  <si>
    <t>Representative from ESCOM</t>
  </si>
  <si>
    <t>Representative from Harbour - Algoa Bay</t>
  </si>
  <si>
    <t>Representative from Harbour - COEGA</t>
  </si>
  <si>
    <t>Representatives Agriculture (Farmers)</t>
  </si>
  <si>
    <t>Representatives from Forestry</t>
  </si>
  <si>
    <t>Representatives from Industry</t>
  </si>
  <si>
    <t>Representatives from Transport Industry</t>
  </si>
  <si>
    <t>Roads &amp; Stormwater</t>
  </si>
  <si>
    <t>Salvation Army</t>
  </si>
  <si>
    <t>South African National Defence Force</t>
  </si>
  <si>
    <t>South African Police Service</t>
  </si>
  <si>
    <t>Traditional Authority</t>
  </si>
  <si>
    <t>Water &amp; Waste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</si>
</sst>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3" xfId="0" applyBorder="1" applyAlignment="1">
      <alignment wrapText="1"/>
    </xf>
    <xf numFmtId="164" fontId="0" fillId="0" borderId="0" xfId="0" applyNumberFormat="1"/>
    <xf numFmtId="0" fontId="0" fillId="0" borderId="7" xfId="0" applyBorder="1"/>
    <xf numFmtId="0" fontId="0" fillId="6" borderId="7" xfId="0" applyFill="1" applyBorder="1"/>
    <xf numFmtId="0" fontId="0" fillId="2" borderId="7" xfId="0" applyFill="1" applyBorder="1"/>
    <xf numFmtId="0" fontId="0" fillId="8" borderId="7" xfId="0" applyFill="1" applyBorder="1"/>
    <xf numFmtId="0" fontId="0" fillId="5" borderId="7" xfId="0" applyFill="1" applyBorder="1" applyProtection="1">
      <protection locked="0"/>
    </xf>
    <xf numFmtId="0" fontId="2" fillId="3" borderId="7" xfId="0" applyFont="1" applyFill="1" applyBorder="1"/>
    <xf numFmtId="0" fontId="3" fillId="6" borderId="7" xfId="0" applyFont="1" applyFill="1" applyBorder="1" applyAlignment="1">
      <alignment vertical="center" wrapText="1"/>
    </xf>
    <xf numFmtId="0" fontId="0" fillId="6" borderId="7" xfId="0" applyFill="1" applyBorder="1" applyAlignment="1">
      <alignment vertical="center" wrapText="1"/>
    </xf>
    <xf numFmtId="0" fontId="0" fillId="2" borderId="7" xfId="0" applyFill="1" applyBorder="1" applyAlignment="1">
      <alignment vertical="center" wrapText="1"/>
    </xf>
    <xf numFmtId="0" fontId="2" fillId="3" borderId="7" xfId="0" applyFont="1" applyFill="1" applyBorder="1" applyAlignment="1">
      <alignment vertical="center" wrapText="1"/>
    </xf>
    <xf numFmtId="0" fontId="0" fillId="0" borderId="7" xfId="0" applyBorder="1" applyProtection="1">
      <protection locked="0"/>
    </xf>
    <xf numFmtId="0" fontId="5" fillId="7" borderId="7" xfId="0" applyFont="1" applyFill="1" applyBorder="1" applyAlignment="1">
      <alignment vertical="center" wrapText="1"/>
    </xf>
    <xf numFmtId="0" fontId="3" fillId="7" borderId="7" xfId="0" applyFont="1" applyFill="1" applyBorder="1" applyAlignment="1">
      <alignment vertical="center" wrapText="1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8" borderId="8" xfId="0" applyFill="1" applyBorder="1"/>
    <xf numFmtId="0" fontId="0" fillId="4" borderId="8" xfId="0" applyFill="1" applyBorder="1" applyProtection="1">
      <protection locked="0"/>
    </xf>
    <xf numFmtId="0" fontId="0" fillId="6" borderId="9" xfId="0" applyFill="1" applyBorder="1"/>
    <xf numFmtId="0" fontId="0" fillId="8" borderId="9" xfId="0" applyFill="1" applyBorder="1"/>
    <xf numFmtId="0" fontId="0" fillId="6" borderId="10" xfId="0" applyFill="1" applyBorder="1"/>
    <xf numFmtId="0" fontId="0" fillId="8" borderId="10" xfId="0" applyFill="1" applyBorder="1"/>
    <xf numFmtId="0" fontId="1" fillId="0" borderId="7" xfId="0" applyFont="1" applyBorder="1" applyAlignment="1">
      <alignment wrapText="1"/>
    </xf>
    <xf numFmtId="0" fontId="0" fillId="9" borderId="7" xfId="0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7" fillId="11" borderId="0" xfId="2" applyAlignment="1">
      <alignment vertical="top" wrapText="1"/>
    </xf>
    <xf numFmtId="0" fontId="6" fillId="10" borderId="0" xfId="1" applyAlignment="1">
      <alignment vertical="top" wrapText="1"/>
    </xf>
    <xf numFmtId="0" fontId="7" fillId="11" borderId="0" xfId="2"/>
    <xf numFmtId="0" fontId="6" fillId="10" borderId="0" xfId="1"/>
    <xf numFmtId="0" fontId="8" fillId="12" borderId="7" xfId="3" applyBorder="1" applyAlignment="1">
      <alignment wrapText="1"/>
    </xf>
    <xf numFmtId="0" fontId="0" fillId="0" borderId="7" xfId="0" applyBorder="1" applyAlignment="1">
      <alignment wrapText="1"/>
    </xf>
    <xf numFmtId="0" fontId="4" fillId="7" borderId="7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0" fillId="0" borderId="0" xfId="0" applyBorder="1"/>
  </cellXfs>
  <cellStyles count="4">
    <cellStyle name="60% - Accent3" xfId="3" builtinId="40"/>
    <cellStyle name="Accent1" xfId="2" builtinId="29"/>
    <cellStyle name="Good" xfId="1" builtinId="26"/>
    <cellStyle name="Normal" xfId="0" builtinId="0"/>
  </cellStyles>
  <dxfs count="9">
    <dxf>
      <fill>
        <patternFill patternType="lightUp"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Up"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Up"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1" defaultTableStyle="TableStyleMedium2" defaultPivotStyle="PivotStyleLight16">
    <tableStyle name="Invisible" pivot="0" table="0" count="0" xr9:uid="{8AE41921-A707-460B-BE5B-0799BF6AB07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>
          <a:extLst>
            <a:ext uri="{FF2B5EF4-FFF2-40B4-BE49-F238E27FC236}">
              <a16:creationId xmlns:a16="http://schemas.microsoft.com/office/drawing/2014/main" id="{E6B36A56-897E-45E2-A9F6-A04BDB9A07A9}"/>
            </a:ext>
          </a:extLst>
        </xdr:cNvPr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 For Esri use only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A1:AE56"/>
  <sheetViews>
    <sheetView tabSelected="1" zoomScale="130" zoomScaleNormal="130" workbookViewId="0">
      <selection activeCell="C5" sqref="C5"/>
    </sheetView>
  </sheetViews>
  <sheetFormatPr defaultRowHeight="14.4" x14ac:dyDescent="0.3"/>
  <cols>
    <col min="1" max="1" width="3" bestFit="1" customWidth="1"/>
    <col min="2" max="2" width="82" bestFit="1" customWidth="1"/>
    <col min="3" max="3" width="24.88671875" customWidth="1"/>
    <col min="4" max="4" width="7.6640625" hidden="1" customWidth="1"/>
    <col min="5" max="11" width="9.109375" hidden="1" customWidth="1"/>
    <col min="12" max="12" width="17.6640625" hidden="1" customWidth="1"/>
    <col min="13" max="13" width="18.33203125" hidden="1" customWidth="1"/>
    <col min="14" max="14" width="9.109375" hidden="1" customWidth="1"/>
    <col min="15" max="15" width="21.88671875" hidden="1" customWidth="1"/>
    <col min="16" max="16" width="19.44140625" hidden="1" customWidth="1"/>
    <col min="17" max="17" width="18.88671875" hidden="1" customWidth="1"/>
    <col min="18" max="22" width="9.109375" hidden="1" customWidth="1"/>
    <col min="23" max="23" width="33.88671875" hidden="1" customWidth="1"/>
    <col min="24" max="27" width="9.109375" hidden="1" customWidth="1"/>
    <col min="28" max="28" width="30.6640625" style="33" customWidth="1"/>
    <col min="29" max="29" width="37.88671875" style="33" bestFit="1" customWidth="1"/>
    <col min="30" max="30" width="17.33203125" style="33" bestFit="1" customWidth="1"/>
    <col min="31" max="31" width="9.88671875" style="33" bestFit="1" customWidth="1"/>
  </cols>
  <sheetData>
    <row r="1" spans="1:31" ht="18" x14ac:dyDescent="0.35">
      <c r="A1" s="41" t="s">
        <v>0</v>
      </c>
      <c r="B1" s="41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1"/>
      <c r="T1" s="42"/>
      <c r="U1" s="42"/>
      <c r="V1" s="42"/>
      <c r="W1" s="42"/>
      <c r="X1" t="s">
        <v>1</v>
      </c>
      <c r="Y1" t="s">
        <v>2</v>
      </c>
      <c r="Z1" t="s">
        <v>3</v>
      </c>
      <c r="AB1" s="39" t="s">
        <v>4</v>
      </c>
      <c r="AC1" s="39" t="s">
        <v>5</v>
      </c>
      <c r="AD1" s="39" t="s">
        <v>6</v>
      </c>
      <c r="AE1" s="39" t="s">
        <v>7</v>
      </c>
    </row>
    <row r="2" spans="1:31" x14ac:dyDescent="0.3">
      <c r="A2" s="13" t="s">
        <v>8</v>
      </c>
      <c r="B2" s="13" t="s">
        <v>9</v>
      </c>
      <c r="C2" s="25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K2" t="s">
        <v>17</v>
      </c>
      <c r="L2" t="s">
        <v>18</v>
      </c>
      <c r="M2" t="s">
        <v>19</v>
      </c>
      <c r="N2">
        <v>1.6</v>
      </c>
      <c r="O2" t="e">
        <f>#REF!</f>
        <v>#REF!</v>
      </c>
      <c r="P2" t="e">
        <f>#REF!</f>
        <v>#REF!</v>
      </c>
      <c r="Q2" t="e">
        <f>#REF!</f>
        <v>#REF!</v>
      </c>
      <c r="R2" t="s">
        <v>20</v>
      </c>
      <c r="S2" s="10" t="s">
        <v>21</v>
      </c>
      <c r="T2" t="s">
        <v>22</v>
      </c>
      <c r="U2" t="s">
        <v>23</v>
      </c>
      <c r="V2" t="s">
        <v>24</v>
      </c>
      <c r="W2" s="13" t="s">
        <v>25</v>
      </c>
      <c r="X2">
        <v>10</v>
      </c>
      <c r="Y2">
        <v>18</v>
      </c>
      <c r="Z2">
        <v>19</v>
      </c>
      <c r="AB2" s="39"/>
      <c r="AC2" s="39"/>
      <c r="AD2" s="39"/>
      <c r="AE2" s="39"/>
    </row>
    <row r="3" spans="1:31" x14ac:dyDescent="0.3">
      <c r="A3" s="11">
        <v>1</v>
      </c>
      <c r="B3" s="13" t="s">
        <v>76</v>
      </c>
      <c r="C3" s="26" t="s">
        <v>176</v>
      </c>
      <c r="D3" s="9">
        <f>IF(C3="",0,VLOOKUP(C3,Dropdown!$AB$1:$AC$7,2,FALSE))</f>
        <v>0.3</v>
      </c>
      <c r="E3">
        <v>0</v>
      </c>
      <c r="F3">
        <v>0</v>
      </c>
      <c r="G3">
        <v>0</v>
      </c>
      <c r="H3">
        <v>0</v>
      </c>
      <c r="I3">
        <v>0</v>
      </c>
      <c r="J3">
        <v>6.5810513489319766E-2</v>
      </c>
      <c r="K3">
        <v>0</v>
      </c>
      <c r="L3" s="9">
        <f>SUM(D3:K3)</f>
        <v>0.36581051348931976</v>
      </c>
      <c r="M3">
        <f>L3+$N$2</f>
        <v>1.9658105134893198</v>
      </c>
      <c r="N3">
        <f>M3*50</f>
        <v>98.290525674465982</v>
      </c>
      <c r="O3" t="e">
        <f>VLOOKUP($B3,#REF!,21,FALSE)</f>
        <v>#REF!</v>
      </c>
      <c r="P3" t="e">
        <f>VLOOKUP($B3,#REF!,31,FALSE)</f>
        <v>#REF!</v>
      </c>
      <c r="Q3" t="e">
        <f>VLOOKUP($B3,#REF!,12,FALSE)</f>
        <v>#REF!</v>
      </c>
      <c r="R3" t="e">
        <f>(Q3*M3)/(O3+P3)</f>
        <v>#REF!</v>
      </c>
      <c r="S3" s="10">
        <v>25</v>
      </c>
      <c r="T3" t="e">
        <f>IF(O3=0,$X$2,O3)</f>
        <v>#REF!</v>
      </c>
      <c r="U3" t="e">
        <f>IF(P3=0,$Y$2,P3)</f>
        <v>#REF!</v>
      </c>
      <c r="V3" t="e">
        <f>IF(Q3=0,$Z$2,Q3)</f>
        <v>#REF!</v>
      </c>
      <c r="W3" s="14" t="e">
        <f>IF(C3="Not Applicable",0,(M3*V3)/(T3+U3))</f>
        <v>#REF!</v>
      </c>
    </row>
    <row r="4" spans="1:31" x14ac:dyDescent="0.3">
      <c r="A4" s="11">
        <v>2</v>
      </c>
      <c r="B4" s="13" t="s">
        <v>77</v>
      </c>
      <c r="C4" s="26" t="s">
        <v>150</v>
      </c>
      <c r="D4" s="9">
        <f>IF(C4="",0,VLOOKUP(C4,Dropdown!$AB$1:$AC$7,2,FALSE))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>SUM(D4:K4)</f>
        <v>0</v>
      </c>
      <c r="M4">
        <f>L4+$N$2</f>
        <v>1.6</v>
      </c>
      <c r="N4">
        <f>M4*50</f>
        <v>80</v>
      </c>
      <c r="O4" t="e">
        <f>VLOOKUP($B4,#REF!,21,FALSE)</f>
        <v>#REF!</v>
      </c>
      <c r="P4" t="e">
        <f>VLOOKUP($B4,#REF!,31,FALSE)</f>
        <v>#REF!</v>
      </c>
      <c r="Q4" t="e">
        <f>VLOOKUP($B4,#REF!,12,FALSE)</f>
        <v>#REF!</v>
      </c>
      <c r="R4" t="e">
        <f>(Q4*M4)/(O4+P4)</f>
        <v>#REF!</v>
      </c>
      <c r="S4" s="10"/>
      <c r="T4" t="e">
        <f>IF(O4=0,$X$2,O4)</f>
        <v>#REF!</v>
      </c>
      <c r="U4" t="e">
        <f>IF(P4=0,$Y$2,P4)</f>
        <v>#REF!</v>
      </c>
      <c r="V4" t="e">
        <f>IF(Q4=0,$Z$2,Q4)</f>
        <v>#REF!</v>
      </c>
      <c r="W4" s="14">
        <f>IF(C4="Not Applicable",0,(M4*V4)/(T4+U4))</f>
        <v>0</v>
      </c>
    </row>
    <row r="5" spans="1:31" x14ac:dyDescent="0.3">
      <c r="A5" s="11">
        <v>3</v>
      </c>
      <c r="B5" s="13" t="s">
        <v>78</v>
      </c>
      <c r="C5" s="26" t="s">
        <v>164</v>
      </c>
      <c r="D5" s="9">
        <f>IF(C5="",0,VLOOKUP(C5,Dropdown!$AB$1:$AC$7,2,FALSE))</f>
        <v>0.1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6.4585061063549096E-2</v>
      </c>
      <c r="L5">
        <f>SUM(D5:K5)</f>
        <v>0.16458506106354909</v>
      </c>
      <c r="M5">
        <f>L5+$N$2</f>
        <v>1.7645850610635492</v>
      </c>
      <c r="N5">
        <f>M5*50</f>
        <v>88.229253053177459</v>
      </c>
      <c r="O5" t="e">
        <f>VLOOKUP($B5,#REF!,21,FALSE)</f>
        <v>#REF!</v>
      </c>
      <c r="P5" t="e">
        <f>VLOOKUP($B5,#REF!,31,FALSE)</f>
        <v>#REF!</v>
      </c>
      <c r="Q5" t="e">
        <f>VLOOKUP($B5,#REF!,12,FALSE)</f>
        <v>#REF!</v>
      </c>
      <c r="R5" t="e">
        <f>(Q5*M5)/(O5+P5)</f>
        <v>#REF!</v>
      </c>
      <c r="S5" s="10">
        <v>10</v>
      </c>
      <c r="T5" t="e">
        <f>IF(O5=0,$X$2,O5)</f>
        <v>#REF!</v>
      </c>
      <c r="U5" t="e">
        <f>IF(P5=0,$Y$2,P5)</f>
        <v>#REF!</v>
      </c>
      <c r="V5" t="e">
        <f>IF(Q5=0,$Z$2,Q5)</f>
        <v>#REF!</v>
      </c>
      <c r="W5" s="14" t="e">
        <f>IF(C5="Not Applicable",0,(M5*V5)/(T5+U5))</f>
        <v>#REF!</v>
      </c>
    </row>
    <row r="6" spans="1:31" x14ac:dyDescent="0.3">
      <c r="A6" s="11">
        <v>4</v>
      </c>
      <c r="B6" s="13" t="s">
        <v>79</v>
      </c>
      <c r="C6" s="26"/>
      <c r="D6" s="9">
        <f>IF(C6="",0,VLOOKUP(C6,Dropdown!$AB$1:$AC$7,2,FALSE))</f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6.5810513489319766E-2</v>
      </c>
      <c r="K6">
        <v>0</v>
      </c>
      <c r="L6">
        <f>SUM(D6:K6)</f>
        <v>6.5810513489319766E-2</v>
      </c>
      <c r="M6">
        <f>L6+$N$2</f>
        <v>1.66581051348932</v>
      </c>
      <c r="N6">
        <f>M6*50</f>
        <v>83.290525674465997</v>
      </c>
      <c r="O6" t="e">
        <f>VLOOKUP($B6,#REF!,21,FALSE)</f>
        <v>#REF!</v>
      </c>
      <c r="P6" t="e">
        <f>VLOOKUP($B6,#REF!,31,FALSE)</f>
        <v>#REF!</v>
      </c>
      <c r="Q6" t="e">
        <f>VLOOKUP($B6,#REF!,12,FALSE)</f>
        <v>#REF!</v>
      </c>
      <c r="R6" t="e">
        <f>(Q6*M6)/(O6+P6)</f>
        <v>#REF!</v>
      </c>
      <c r="S6" s="10"/>
      <c r="T6" t="e">
        <f>IF(O6=0,$X$2,O6)</f>
        <v>#REF!</v>
      </c>
      <c r="U6" t="e">
        <f>IF(P6=0,$Y$2,P6)</f>
        <v>#REF!</v>
      </c>
      <c r="V6" t="e">
        <f>IF(Q6=0,$Z$2,Q6)</f>
        <v>#REF!</v>
      </c>
      <c r="W6" s="14" t="e">
        <f>IF(C6="Not Applicable",0,(M6*V6)/(T6+U6))</f>
        <v>#REF!</v>
      </c>
    </row>
    <row r="7" spans="1:31" x14ac:dyDescent="0.3">
      <c r="A7" s="11">
        <v>5</v>
      </c>
      <c r="B7" s="13" t="s">
        <v>28</v>
      </c>
      <c r="C7" s="26"/>
      <c r="D7" s="9">
        <f>IF(C7="",0,VLOOKUP(C7,Dropdown!$AB$1:$AC$7,2,FALSE))</f>
        <v>0</v>
      </c>
      <c r="E7">
        <v>1.8128377746931754E-2</v>
      </c>
      <c r="F7">
        <v>4.5378064858621274E-2</v>
      </c>
      <c r="G7">
        <v>6.7655040427257188E-2</v>
      </c>
      <c r="H7">
        <v>-1.0797477859180468E-2</v>
      </c>
      <c r="I7">
        <v>6.3932979547396893E-2</v>
      </c>
      <c r="J7">
        <v>8.2263984137641952E-2</v>
      </c>
      <c r="K7">
        <v>6.4585061063549096E-2</v>
      </c>
      <c r="L7">
        <f>SUM(D7:K7)</f>
        <v>0.3311460299222177</v>
      </c>
      <c r="M7">
        <f>L7+$N$2</f>
        <v>1.9311460299222178</v>
      </c>
      <c r="N7">
        <f>M7*50</f>
        <v>96.557301496110895</v>
      </c>
      <c r="O7" t="e">
        <f>VLOOKUP($B7,#REF!,21,FALSE)</f>
        <v>#REF!</v>
      </c>
      <c r="P7" t="e">
        <f>VLOOKUP($B7,#REF!,31,FALSE)</f>
        <v>#REF!</v>
      </c>
      <c r="Q7" t="e">
        <f>VLOOKUP($B7,#REF!,12,FALSE)</f>
        <v>#REF!</v>
      </c>
      <c r="R7" t="e">
        <f>(Q7*M7)/(O7+P7)</f>
        <v>#REF!</v>
      </c>
      <c r="S7" s="10">
        <v>34</v>
      </c>
      <c r="T7" t="e">
        <f>IF(O7=0,$X$2,O7)</f>
        <v>#REF!</v>
      </c>
      <c r="U7" t="e">
        <f>IF(P7=0,$Y$2,P7)</f>
        <v>#REF!</v>
      </c>
      <c r="V7" t="e">
        <f>IF(Q7=0,$Z$2,Q7)</f>
        <v>#REF!</v>
      </c>
      <c r="W7" s="14" t="e">
        <f>IF(C7="Not Applicable",0,(M7*V7)/(T7+U7))</f>
        <v>#REF!</v>
      </c>
    </row>
    <row r="8" spans="1:31" x14ac:dyDescent="0.3">
      <c r="A8" s="11">
        <v>6</v>
      </c>
      <c r="B8" s="13" t="s">
        <v>29</v>
      </c>
      <c r="C8" s="26"/>
      <c r="D8" s="9">
        <f>IF(C8="",0,VLOOKUP(C8,Dropdown!$AB$1:$AC$7,2,FALSE))</f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6.4585061063549096E-2</v>
      </c>
      <c r="L8">
        <f>SUM(D8:K8)</f>
        <v>6.4585061063549096E-2</v>
      </c>
      <c r="M8">
        <f>L8+$N$2</f>
        <v>1.6645850610635491</v>
      </c>
      <c r="N8">
        <f>M8*50</f>
        <v>83.229253053177459</v>
      </c>
      <c r="O8" t="e">
        <f>VLOOKUP($B8,#REF!,21,FALSE)</f>
        <v>#REF!</v>
      </c>
      <c r="P8" t="e">
        <f>VLOOKUP($B8,#REF!,31,FALSE)</f>
        <v>#REF!</v>
      </c>
      <c r="Q8" t="e">
        <f>VLOOKUP($B8,#REF!,12,FALSE)</f>
        <v>#REF!</v>
      </c>
      <c r="R8" t="e">
        <f>(Q8*M8)/(O8+P8)</f>
        <v>#REF!</v>
      </c>
      <c r="S8" s="10">
        <v>17</v>
      </c>
      <c r="T8" t="e">
        <f>IF(O8=0,$X$2,O8)</f>
        <v>#REF!</v>
      </c>
      <c r="U8" t="e">
        <f>IF(P8=0,$Y$2,P8)</f>
        <v>#REF!</v>
      </c>
      <c r="V8" t="e">
        <f>IF(Q8=0,$Z$2,Q8)</f>
        <v>#REF!</v>
      </c>
      <c r="W8" s="14" t="e">
        <f>IF(C8="Not Applicable",0,(M8*V8)/(T8+U8))</f>
        <v>#REF!</v>
      </c>
    </row>
    <row r="9" spans="1:31" x14ac:dyDescent="0.3">
      <c r="A9" s="11">
        <v>7</v>
      </c>
      <c r="B9" s="13" t="s">
        <v>31</v>
      </c>
      <c r="C9" s="26"/>
      <c r="D9" s="9">
        <f>IF(C9="",0,VLOOKUP(C9,Dropdown!$AB$1:$AC$7,2,FALSE))</f>
        <v>0</v>
      </c>
      <c r="E9">
        <v>1.8128377746931754E-2</v>
      </c>
      <c r="F9">
        <v>0</v>
      </c>
      <c r="G9">
        <v>0</v>
      </c>
      <c r="H9">
        <v>0</v>
      </c>
      <c r="I9">
        <v>0</v>
      </c>
      <c r="J9">
        <v>0</v>
      </c>
      <c r="K9">
        <v>6.4585061063549096E-2</v>
      </c>
      <c r="L9">
        <f>SUM(D9:K9)</f>
        <v>8.2713438810480849E-2</v>
      </c>
      <c r="M9">
        <f>L9+$N$2</f>
        <v>1.682713438810481</v>
      </c>
      <c r="N9">
        <f>M9*50</f>
        <v>84.135671940524048</v>
      </c>
      <c r="O9" t="e">
        <f>VLOOKUP($B9,#REF!,21,FALSE)</f>
        <v>#REF!</v>
      </c>
      <c r="P9" t="e">
        <f>VLOOKUP($B9,#REF!,31,FALSE)</f>
        <v>#REF!</v>
      </c>
      <c r="Q9" t="e">
        <f>VLOOKUP($B9,#REF!,12,FALSE)</f>
        <v>#REF!</v>
      </c>
      <c r="R9" t="e">
        <f>(Q9*M9)/(O9+P9)</f>
        <v>#REF!</v>
      </c>
      <c r="S9" s="10">
        <v>23</v>
      </c>
      <c r="T9" t="e">
        <f>IF(O9=0,$X$2,O9)</f>
        <v>#REF!</v>
      </c>
      <c r="U9" t="e">
        <f>IF(P9=0,$Y$2,P9)</f>
        <v>#REF!</v>
      </c>
      <c r="V9" t="e">
        <f>IF(Q9=0,$Z$2,Q9)</f>
        <v>#REF!</v>
      </c>
      <c r="W9" s="14" t="e">
        <f>IF(C9="Not Applicable",0,(M9*V9)/(T9+U9))</f>
        <v>#REF!</v>
      </c>
    </row>
    <row r="10" spans="1:31" x14ac:dyDescent="0.3">
      <c r="A10" s="11">
        <v>8</v>
      </c>
      <c r="B10" s="13" t="s">
        <v>30</v>
      </c>
      <c r="C10" s="26"/>
      <c r="D10" s="9">
        <f>IF(C10="",0,VLOOKUP(C10,Dropdown!$AB$1:$AC$7,2,FALSE))</f>
        <v>0</v>
      </c>
      <c r="E10">
        <v>3.71236721876812E-2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>SUM(D10:K10)</f>
        <v>3.71236721876812E-2</v>
      </c>
      <c r="M10">
        <f>L10+$N$2</f>
        <v>1.6371236721876814</v>
      </c>
      <c r="N10">
        <f>M10*50</f>
        <v>81.856183609384075</v>
      </c>
      <c r="O10" t="e">
        <f>VLOOKUP($B10,#REF!,21,FALSE)</f>
        <v>#REF!</v>
      </c>
      <c r="P10" t="e">
        <f>VLOOKUP($B10,#REF!,31,FALSE)</f>
        <v>#REF!</v>
      </c>
      <c r="Q10" t="e">
        <f>VLOOKUP($B10,#REF!,12,FALSE)</f>
        <v>#REF!</v>
      </c>
      <c r="R10" t="e">
        <f>(Q10*M10)/(O10+P10)</f>
        <v>#REF!</v>
      </c>
      <c r="S10" s="10">
        <v>46</v>
      </c>
      <c r="T10" t="e">
        <f>IF(O10=0,$X$2,O10)</f>
        <v>#REF!</v>
      </c>
      <c r="U10" t="e">
        <f>IF(P10=0,$Y$2,P10)</f>
        <v>#REF!</v>
      </c>
      <c r="V10" t="e">
        <f>IF(Q10=0,$Z$2,Q10)</f>
        <v>#REF!</v>
      </c>
      <c r="W10" s="14" t="e">
        <f>IF(C10="Not Applicable",0,(M10*V10)/(T10+U10))</f>
        <v>#REF!</v>
      </c>
    </row>
    <row r="11" spans="1:31" x14ac:dyDescent="0.3">
      <c r="A11" s="11">
        <v>9</v>
      </c>
      <c r="B11" s="13" t="s">
        <v>26</v>
      </c>
      <c r="C11" s="26"/>
      <c r="D11" s="9">
        <f>IF(C11="",0,VLOOKUP(C11,Dropdown!$AB$1:$AC$7,2,FALSE))</f>
        <v>0</v>
      </c>
      <c r="E11">
        <v>3.71236721876812E-2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>SUM(D11:K11)</f>
        <v>3.71236721876812E-2</v>
      </c>
      <c r="M11">
        <f>L11+$N$2</f>
        <v>1.6371236721876814</v>
      </c>
      <c r="N11">
        <f>M11*50</f>
        <v>81.856183609384075</v>
      </c>
      <c r="O11" t="e">
        <f>VLOOKUP($B11,#REF!,21,FALSE)</f>
        <v>#REF!</v>
      </c>
      <c r="P11" t="e">
        <f>VLOOKUP($B11,#REF!,31,FALSE)</f>
        <v>#REF!</v>
      </c>
      <c r="Q11" t="e">
        <f>VLOOKUP($B11,#REF!,12,FALSE)</f>
        <v>#REF!</v>
      </c>
      <c r="R11" t="e">
        <f>(Q11*M11)/(O11+P11)</f>
        <v>#REF!</v>
      </c>
      <c r="S11" s="10">
        <v>35</v>
      </c>
      <c r="T11" t="e">
        <f>IF(O11=0,$X$2,O11)</f>
        <v>#REF!</v>
      </c>
      <c r="U11" t="e">
        <f>IF(P11=0,$Y$2,P11)</f>
        <v>#REF!</v>
      </c>
      <c r="V11" t="e">
        <f>IF(Q11=0,$Z$2,Q11)</f>
        <v>#REF!</v>
      </c>
      <c r="W11" s="14" t="e">
        <f>IF(C11="Not Applicable",0,(M11*V11)/(T11+U11))</f>
        <v>#REF!</v>
      </c>
    </row>
    <row r="12" spans="1:31" x14ac:dyDescent="0.3">
      <c r="A12" s="11">
        <v>10</v>
      </c>
      <c r="B12" s="13" t="s">
        <v>27</v>
      </c>
      <c r="C12" s="26"/>
      <c r="D12" s="9">
        <f>IF(C12="",0,VLOOKUP(C12,Dropdown!$AB$1:$AC$7,2,FALSE))</f>
        <v>0</v>
      </c>
      <c r="E12">
        <v>0</v>
      </c>
      <c r="F12">
        <v>0</v>
      </c>
      <c r="G12">
        <v>0</v>
      </c>
      <c r="H12">
        <v>-1.0041602322796354E-2</v>
      </c>
      <c r="I12">
        <v>0</v>
      </c>
      <c r="J12">
        <v>0</v>
      </c>
      <c r="K12">
        <v>6.4585061063549096E-2</v>
      </c>
      <c r="L12">
        <f>SUM(D12:K12)</f>
        <v>5.454345874075274E-2</v>
      </c>
      <c r="M12">
        <f>L12+$N$2</f>
        <v>1.6545434587407528</v>
      </c>
      <c r="N12">
        <f>M12*50</f>
        <v>82.727172937037636</v>
      </c>
      <c r="O12" t="e">
        <f>VLOOKUP($B12,#REF!,21,FALSE)</f>
        <v>#REF!</v>
      </c>
      <c r="P12" t="e">
        <f>VLOOKUP($B12,#REF!,31,FALSE)</f>
        <v>#REF!</v>
      </c>
      <c r="Q12" t="e">
        <f>VLOOKUP($B12,#REF!,12,FALSE)</f>
        <v>#REF!</v>
      </c>
      <c r="R12" t="e">
        <f>(Q12*M12)/(O12+P12)</f>
        <v>#REF!</v>
      </c>
      <c r="S12" s="10">
        <v>22</v>
      </c>
      <c r="T12" t="e">
        <f>IF(O12=0,$X$2,O12)</f>
        <v>#REF!</v>
      </c>
      <c r="U12" t="e">
        <f>IF(P12=0,$Y$2,P12)</f>
        <v>#REF!</v>
      </c>
      <c r="V12" t="e">
        <f>IF(Q12=0,$Z$2,Q12)</f>
        <v>#REF!</v>
      </c>
      <c r="W12" s="14" t="e">
        <f>IF(C12="Not Applicable",0,(M12*V12)/(T12+U12))</f>
        <v>#REF!</v>
      </c>
    </row>
    <row r="13" spans="1:31" x14ac:dyDescent="0.3">
      <c r="A13" s="11">
        <v>11</v>
      </c>
      <c r="B13" s="13" t="s">
        <v>47</v>
      </c>
      <c r="C13" s="26"/>
      <c r="D13" s="9">
        <f>IF(C13="",0,VLOOKUP(C13,Dropdown!$AB$1:$AC$7,2,FALSE))</f>
        <v>0</v>
      </c>
      <c r="E13">
        <v>3.8164923496677175E-2</v>
      </c>
      <c r="F13">
        <v>3.0045823391806038E-2</v>
      </c>
      <c r="G13">
        <v>0</v>
      </c>
      <c r="H13">
        <v>-2.7215061174248902E-2</v>
      </c>
      <c r="I13">
        <v>4.8639997751383036E-2</v>
      </c>
      <c r="J13">
        <v>6.5810513489319766E-2</v>
      </c>
      <c r="K13">
        <v>6.4585061063549096E-2</v>
      </c>
      <c r="L13">
        <f>SUM(D13:K13)</f>
        <v>0.22003125801848622</v>
      </c>
      <c r="M13">
        <f>L13+$N$2</f>
        <v>1.8200312580184863</v>
      </c>
      <c r="N13">
        <f>M13*50</f>
        <v>91.001562900924313</v>
      </c>
      <c r="O13" t="e">
        <f>VLOOKUP($B13,#REF!,21,FALSE)</f>
        <v>#REF!</v>
      </c>
      <c r="P13" t="e">
        <f>VLOOKUP($B13,#REF!,31,FALSE)</f>
        <v>#REF!</v>
      </c>
      <c r="Q13" t="e">
        <f>VLOOKUP($B13,#REF!,12,FALSE)</f>
        <v>#REF!</v>
      </c>
      <c r="R13" t="e">
        <f>(Q13*M13)/(O13+P13)</f>
        <v>#REF!</v>
      </c>
      <c r="S13" s="10">
        <v>1</v>
      </c>
      <c r="T13" t="e">
        <f>IF(O13=0,$X$2,O13)</f>
        <v>#REF!</v>
      </c>
      <c r="U13" t="e">
        <f>IF(P13=0,$Y$2,P13)</f>
        <v>#REF!</v>
      </c>
      <c r="V13" t="e">
        <f>IF(Q13=0,$Z$2,Q13)</f>
        <v>#REF!</v>
      </c>
      <c r="W13" s="14" t="e">
        <f>IF(C13="Not Applicable",0,(M13*V13)/(T13+U13))</f>
        <v>#REF!</v>
      </c>
    </row>
    <row r="14" spans="1:31" x14ac:dyDescent="0.3">
      <c r="A14" s="11">
        <v>12</v>
      </c>
      <c r="B14" s="13" t="s">
        <v>35</v>
      </c>
      <c r="C14" s="26"/>
      <c r="D14" s="9">
        <f>IF(C14="",0,VLOOKUP(C14,Dropdown!$AB$1:$AC$7,2,FALSE))</f>
        <v>0</v>
      </c>
      <c r="E14">
        <v>-1.1051894154291926E-2</v>
      </c>
      <c r="F14">
        <v>0</v>
      </c>
      <c r="G14">
        <v>0</v>
      </c>
      <c r="H14">
        <v>0</v>
      </c>
      <c r="I14">
        <v>2.0237154841937884E-2</v>
      </c>
      <c r="J14">
        <v>0</v>
      </c>
      <c r="K14">
        <v>0</v>
      </c>
      <c r="L14" s="9">
        <f>SUM(D14:K14)</f>
        <v>9.1852606876459582E-3</v>
      </c>
      <c r="M14">
        <f>L14+$N$2</f>
        <v>1.609185260687646</v>
      </c>
      <c r="N14">
        <f>M14*50</f>
        <v>80.459263034382303</v>
      </c>
      <c r="O14" t="e">
        <f>VLOOKUP($B14,#REF!,21,FALSE)</f>
        <v>#REF!</v>
      </c>
      <c r="P14" t="e">
        <f>VLOOKUP($B14,#REF!,31,FALSE)</f>
        <v>#REF!</v>
      </c>
      <c r="Q14" t="e">
        <f>VLOOKUP($B14,#REF!,12,FALSE)</f>
        <v>#REF!</v>
      </c>
      <c r="R14" t="e">
        <f>(Q14*M14)/(O14+P14)</f>
        <v>#REF!</v>
      </c>
      <c r="S14" s="10">
        <v>16</v>
      </c>
      <c r="T14" t="e">
        <f>IF(O14=0,$X$2,O14)</f>
        <v>#REF!</v>
      </c>
      <c r="U14" t="e">
        <f>IF(P14=0,$Y$2,P14)</f>
        <v>#REF!</v>
      </c>
      <c r="V14" t="e">
        <f>IF(Q14=0,$Z$2,Q14)</f>
        <v>#REF!</v>
      </c>
      <c r="W14" s="14" t="e">
        <f>IF(C14="Not Applicable",0,(M14*V14)/(T14+U14))</f>
        <v>#REF!</v>
      </c>
    </row>
    <row r="15" spans="1:31" x14ac:dyDescent="0.3">
      <c r="A15" s="27">
        <v>13</v>
      </c>
      <c r="B15" s="28" t="s">
        <v>36</v>
      </c>
      <c r="C15" s="26"/>
      <c r="D15" s="9">
        <f>IF(C15="",0,VLOOKUP(C15,Dropdown!$AB$1:$AC$7,2,FALSE))</f>
        <v>0</v>
      </c>
      <c r="E15">
        <v>-1.1051894154291926E-2</v>
      </c>
      <c r="F15">
        <v>0</v>
      </c>
      <c r="G15">
        <v>0</v>
      </c>
      <c r="H15">
        <v>0</v>
      </c>
      <c r="I15">
        <v>2.0237154841937884E-2</v>
      </c>
      <c r="J15">
        <v>6.5810513489319766E-2</v>
      </c>
      <c r="K15">
        <v>0</v>
      </c>
      <c r="L15">
        <f>SUM(D15:K15)</f>
        <v>7.4995774176965721E-2</v>
      </c>
      <c r="M15">
        <f>L15+$N$2</f>
        <v>1.6749957741769659</v>
      </c>
      <c r="N15">
        <f>M15*50</f>
        <v>83.7497887088483</v>
      </c>
      <c r="O15" t="e">
        <f>VLOOKUP($B15,#REF!,21,FALSE)</f>
        <v>#REF!</v>
      </c>
      <c r="P15" t="e">
        <f>VLOOKUP($B15,#REF!,31,FALSE)</f>
        <v>#REF!</v>
      </c>
      <c r="Q15" t="e">
        <f>VLOOKUP($B15,#REF!,12,FALSE)</f>
        <v>#REF!</v>
      </c>
      <c r="R15" t="e">
        <f>(Q15*M15)/(O15+P15)</f>
        <v>#REF!</v>
      </c>
      <c r="S15" s="43">
        <v>15</v>
      </c>
      <c r="T15" t="e">
        <f>IF(O15=0,$X$2,O15)</f>
        <v>#REF!</v>
      </c>
      <c r="U15" t="e">
        <f>IF(P15=0,$Y$2,P15)</f>
        <v>#REF!</v>
      </c>
      <c r="V15" t="e">
        <f>IF(Q15=0,$Z$2,Q15)</f>
        <v>#REF!</v>
      </c>
      <c r="W15" s="14" t="e">
        <f>IF(C15="Not Applicable",0,(M15*V15)/(T15+U15))</f>
        <v>#REF!</v>
      </c>
    </row>
    <row r="16" spans="1:31" x14ac:dyDescent="0.3">
      <c r="A16" s="11">
        <v>14</v>
      </c>
      <c r="B16" s="13" t="s">
        <v>37</v>
      </c>
      <c r="C16" s="26"/>
      <c r="D16" s="9">
        <f>IF(C16="",0,VLOOKUP(C16,Dropdown!$AB$1:$AC$7,2,FALSE))</f>
        <v>0</v>
      </c>
      <c r="E16">
        <v>-1.1051894154291926E-2</v>
      </c>
      <c r="F16">
        <v>4.5443693522888358E-2</v>
      </c>
      <c r="G16">
        <v>3.8726927878473219E-2</v>
      </c>
      <c r="H16">
        <v>0</v>
      </c>
      <c r="I16">
        <v>2.0237154841937884E-2</v>
      </c>
      <c r="J16">
        <v>6.5810513489319766E-2</v>
      </c>
      <c r="K16">
        <v>0</v>
      </c>
      <c r="L16">
        <f>SUM(D16:K16)</f>
        <v>0.15916639557832729</v>
      </c>
      <c r="M16">
        <f>L16+$N$2</f>
        <v>1.7591663955783274</v>
      </c>
      <c r="N16">
        <f>M16*50</f>
        <v>87.958319778916376</v>
      </c>
      <c r="O16" t="e">
        <f>VLOOKUP($B16,#REF!,21,FALSE)</f>
        <v>#REF!</v>
      </c>
      <c r="P16" t="e">
        <f>VLOOKUP($B16,#REF!,31,FALSE)</f>
        <v>#REF!</v>
      </c>
      <c r="Q16" t="e">
        <f>VLOOKUP($B16,#REF!,12,FALSE)</f>
        <v>#REF!</v>
      </c>
      <c r="R16" t="e">
        <f>(Q16*M16)/(O16+P16)</f>
        <v>#REF!</v>
      </c>
      <c r="S16" s="10">
        <v>8</v>
      </c>
      <c r="T16" t="e">
        <f>IF(O16=0,$X$2,O16)</f>
        <v>#REF!</v>
      </c>
      <c r="U16" t="e">
        <f>IF(P16=0,$Y$2,P16)</f>
        <v>#REF!</v>
      </c>
      <c r="V16" t="e">
        <f>IF(Q16=0,$Z$2,Q16)</f>
        <v>#REF!</v>
      </c>
      <c r="W16" s="14" t="e">
        <f>IF(C16="Not Applicable",0,(M16*V16)/(T16+U16))</f>
        <v>#REF!</v>
      </c>
    </row>
    <row r="17" spans="1:23" x14ac:dyDescent="0.3">
      <c r="A17" s="11">
        <v>15</v>
      </c>
      <c r="B17" s="13" t="s">
        <v>38</v>
      </c>
      <c r="C17" s="26"/>
      <c r="D17" s="9">
        <f>IF(C17="",0,VLOOKUP(C17,Dropdown!$AB$1:$AC$7,2,FALSE))</f>
        <v>0</v>
      </c>
      <c r="E17">
        <v>0</v>
      </c>
      <c r="F17">
        <v>0</v>
      </c>
      <c r="G17">
        <v>3.8726927878473219E-2</v>
      </c>
      <c r="H17">
        <v>0</v>
      </c>
      <c r="I17">
        <v>2.0237154841937884E-2</v>
      </c>
      <c r="J17">
        <v>6.5810513489319766E-2</v>
      </c>
      <c r="K17">
        <v>0</v>
      </c>
      <c r="L17">
        <f>SUM(D17:K17)</f>
        <v>0.12477459620973087</v>
      </c>
      <c r="M17">
        <f>L17+$N$2</f>
        <v>1.7247745962097309</v>
      </c>
      <c r="N17">
        <f>M17*50</f>
        <v>86.238729810486547</v>
      </c>
      <c r="O17" t="e">
        <f>VLOOKUP($B17,#REF!,21,FALSE)</f>
        <v>#REF!</v>
      </c>
      <c r="P17" t="e">
        <f>VLOOKUP($B17,#REF!,31,FALSE)</f>
        <v>#REF!</v>
      </c>
      <c r="Q17" t="e">
        <f>VLOOKUP($B17,#REF!,12,FALSE)</f>
        <v>#REF!</v>
      </c>
      <c r="R17" t="e">
        <f>(Q17*M17)/(O17+P17)</f>
        <v>#REF!</v>
      </c>
      <c r="S17" s="10">
        <v>18</v>
      </c>
      <c r="T17" t="e">
        <f>IF(O17=0,$X$2,O17)</f>
        <v>#REF!</v>
      </c>
      <c r="U17" t="e">
        <f>IF(P17=0,$Y$2,P17)</f>
        <v>#REF!</v>
      </c>
      <c r="V17" t="e">
        <f>IF(Q17=0,$Z$2,Q17)</f>
        <v>#REF!</v>
      </c>
      <c r="W17" s="14" t="e">
        <f>IF(C17="Not Applicable",0,(M17*V17)/(T17+U17))</f>
        <v>#REF!</v>
      </c>
    </row>
    <row r="18" spans="1:23" x14ac:dyDescent="0.3">
      <c r="A18" s="11">
        <v>16</v>
      </c>
      <c r="B18" s="13" t="s">
        <v>32</v>
      </c>
      <c r="C18" s="26"/>
      <c r="D18" s="9">
        <f>IF(C18="",0,VLOOKUP(C18,Dropdown!$AB$1:$AC$7,2,FALSE))</f>
        <v>0</v>
      </c>
      <c r="E18">
        <v>-8.1663226657372315E-2</v>
      </c>
      <c r="F18">
        <v>1.2396525472672226E-2</v>
      </c>
      <c r="G18">
        <v>4.9429322303828648E-2</v>
      </c>
      <c r="H18">
        <v>-5.920169084440547E-2</v>
      </c>
      <c r="I18">
        <v>2.0200694366551617E-2</v>
      </c>
      <c r="J18">
        <v>6.5810513489319766E-2</v>
      </c>
      <c r="K18">
        <v>6.4585061063549096E-2</v>
      </c>
      <c r="L18">
        <f>SUM(D18:K18)</f>
        <v>7.1557199194143564E-2</v>
      </c>
      <c r="M18">
        <f>L18+$N$2</f>
        <v>1.6715571991941436</v>
      </c>
      <c r="N18">
        <f>M18*50</f>
        <v>83.577859959707183</v>
      </c>
      <c r="O18" t="e">
        <f>VLOOKUP($B18,#REF!,21,FALSE)</f>
        <v>#REF!</v>
      </c>
      <c r="P18" t="e">
        <f>VLOOKUP($B18,#REF!,31,FALSE)</f>
        <v>#REF!</v>
      </c>
      <c r="Q18" t="e">
        <f>VLOOKUP($B18,#REF!,12,FALSE)</f>
        <v>#REF!</v>
      </c>
      <c r="R18" t="e">
        <f>(Q18*M18)/(O18+P18)</f>
        <v>#REF!</v>
      </c>
      <c r="S18" s="10">
        <v>6</v>
      </c>
      <c r="T18" t="e">
        <f>IF(O18=0,$X$2,O18)</f>
        <v>#REF!</v>
      </c>
      <c r="U18" t="e">
        <f>IF(P18=0,$Y$2,P18)</f>
        <v>#REF!</v>
      </c>
      <c r="V18" t="e">
        <f>IF(Q18=0,$Z$2,Q18)</f>
        <v>#REF!</v>
      </c>
      <c r="W18" s="14" t="e">
        <f>IF(C18="Not Applicable",0,(M18*V18)/(T18+U18))</f>
        <v>#REF!</v>
      </c>
    </row>
    <row r="19" spans="1:23" x14ac:dyDescent="0.3">
      <c r="A19" s="11">
        <v>17</v>
      </c>
      <c r="B19" s="13" t="s">
        <v>33</v>
      </c>
      <c r="C19" s="26"/>
      <c r="D19" s="9">
        <f>IF(C19="",0,VLOOKUP(C19,Dropdown!$AB$1:$AC$7,2,FALSE))</f>
        <v>0</v>
      </c>
      <c r="E19">
        <v>-8.1663226657372315E-2</v>
      </c>
      <c r="F19">
        <v>1.2396525472672226E-2</v>
      </c>
      <c r="G19">
        <v>4.9429322303828648E-2</v>
      </c>
      <c r="H19">
        <v>-5.920169084440547E-2</v>
      </c>
      <c r="I19">
        <v>2.0200694366551617E-2</v>
      </c>
      <c r="J19">
        <v>6.5810513489319766E-2</v>
      </c>
      <c r="K19">
        <v>6.4585061063549096E-2</v>
      </c>
      <c r="L19">
        <f>SUM(D19:K19)</f>
        <v>7.1557199194143564E-2</v>
      </c>
      <c r="M19">
        <f>L19+$N$2</f>
        <v>1.6715571991941436</v>
      </c>
      <c r="N19">
        <f>M19*50</f>
        <v>83.577859959707183</v>
      </c>
      <c r="O19" t="e">
        <f>VLOOKUP($B19,#REF!,21,FALSE)</f>
        <v>#REF!</v>
      </c>
      <c r="P19" t="e">
        <f>VLOOKUP($B19,#REF!,31,FALSE)</f>
        <v>#REF!</v>
      </c>
      <c r="Q19" t="e">
        <f>VLOOKUP($B19,#REF!,12,FALSE)</f>
        <v>#REF!</v>
      </c>
      <c r="R19" t="e">
        <f>(Q19*M19)/(O19+P19)</f>
        <v>#REF!</v>
      </c>
      <c r="S19" s="10">
        <v>7</v>
      </c>
      <c r="T19" t="e">
        <f>IF(O19=0,$X$2,O19)</f>
        <v>#REF!</v>
      </c>
      <c r="U19" t="e">
        <f>IF(P19=0,$Y$2,P19)</f>
        <v>#REF!</v>
      </c>
      <c r="V19" t="e">
        <f>IF(Q19=0,$Z$2,Q19)</f>
        <v>#REF!</v>
      </c>
      <c r="W19" s="14" t="e">
        <f>IF(C19="Not Applicable",0,(M19*V19)/(T19+U19))</f>
        <v>#REF!</v>
      </c>
    </row>
    <row r="20" spans="1:23" x14ac:dyDescent="0.3">
      <c r="A20" s="11">
        <v>18</v>
      </c>
      <c r="B20" s="13" t="s">
        <v>34</v>
      </c>
      <c r="C20" s="26"/>
      <c r="D20" s="9">
        <f>IF(C20="",0,VLOOKUP(C20,Dropdown!$AB$1:$AC$7,2,FALSE))</f>
        <v>0</v>
      </c>
      <c r="E20">
        <v>0</v>
      </c>
      <c r="F20">
        <v>0</v>
      </c>
      <c r="G20">
        <v>4.9429322303828648E-2</v>
      </c>
      <c r="H20">
        <v>-5.920169084440547E-2</v>
      </c>
      <c r="I20">
        <v>2.0200694366551617E-2</v>
      </c>
      <c r="J20">
        <v>6.5810513489319766E-2</v>
      </c>
      <c r="K20">
        <v>0</v>
      </c>
      <c r="L20">
        <f>SUM(D20:K20)</f>
        <v>7.6238839315294557E-2</v>
      </c>
      <c r="M20">
        <f>L20+$N$2</f>
        <v>1.6762388393152947</v>
      </c>
      <c r="N20">
        <f>M20*50</f>
        <v>83.811941965764731</v>
      </c>
      <c r="O20" t="e">
        <f>VLOOKUP($B20,#REF!,21,FALSE)</f>
        <v>#REF!</v>
      </c>
      <c r="P20" t="e">
        <f>VLOOKUP($B20,#REF!,31,FALSE)</f>
        <v>#REF!</v>
      </c>
      <c r="Q20" t="e">
        <f>VLOOKUP($B20,#REF!,12,FALSE)</f>
        <v>#REF!</v>
      </c>
      <c r="R20" t="e">
        <f>(Q20*M20)/(O20+P20)</f>
        <v>#REF!</v>
      </c>
      <c r="S20" s="10">
        <v>28</v>
      </c>
      <c r="T20" t="e">
        <f>IF(O20=0,$X$2,O20)</f>
        <v>#REF!</v>
      </c>
      <c r="U20" t="e">
        <f>IF(P20=0,$Y$2,P20)</f>
        <v>#REF!</v>
      </c>
      <c r="V20" t="e">
        <f>IF(Q20=0,$Z$2,Q20)</f>
        <v>#REF!</v>
      </c>
      <c r="W20" s="14" t="e">
        <f>IF(C20="Not Applicable",0,(M20*V20)/(T20+U20))</f>
        <v>#REF!</v>
      </c>
    </row>
    <row r="21" spans="1:23" x14ac:dyDescent="0.3">
      <c r="A21" s="11">
        <v>19</v>
      </c>
      <c r="B21" s="13" t="s">
        <v>40</v>
      </c>
      <c r="C21" s="26"/>
      <c r="D21" s="9">
        <f>IF(C21="",0,VLOOKUP(C21,Dropdown!$AB$1:$AC$7,2,FALSE))</f>
        <v>0</v>
      </c>
      <c r="E21">
        <v>-3.8521057604455206E-2</v>
      </c>
      <c r="F21">
        <v>0</v>
      </c>
      <c r="G21">
        <v>4.964808451805227E-2</v>
      </c>
      <c r="H21">
        <v>-5.4213183152726011E-2</v>
      </c>
      <c r="I21">
        <v>2.0133474508294034E-2</v>
      </c>
      <c r="J21">
        <v>6.5810513489319766E-2</v>
      </c>
      <c r="K21">
        <v>6.4585061063549096E-2</v>
      </c>
      <c r="L21">
        <f>SUM(D21:K21)</f>
        <v>0.10744289282203395</v>
      </c>
      <c r="M21">
        <f>L21+$N$2</f>
        <v>1.707442892822034</v>
      </c>
      <c r="N21">
        <f>M21*50</f>
        <v>85.372144641101698</v>
      </c>
      <c r="O21" t="e">
        <f>VLOOKUP($B21,#REF!,21,FALSE)</f>
        <v>#REF!</v>
      </c>
      <c r="P21" t="e">
        <f>VLOOKUP($B21,#REF!,31,FALSE)</f>
        <v>#REF!</v>
      </c>
      <c r="Q21" t="e">
        <f>VLOOKUP($B21,#REF!,12,FALSE)</f>
        <v>#REF!</v>
      </c>
      <c r="R21" t="e">
        <f>(Q21*M21)/(O21+P21)</f>
        <v>#REF!</v>
      </c>
      <c r="S21" s="10">
        <v>3</v>
      </c>
      <c r="T21" t="e">
        <f>IF(O21=0,$X$2,O21)</f>
        <v>#REF!</v>
      </c>
      <c r="U21" t="e">
        <f>IF(P21=0,$Y$2,P21)</f>
        <v>#REF!</v>
      </c>
      <c r="V21" t="e">
        <f>IF(Q21=0,$Z$2,Q21)</f>
        <v>#REF!</v>
      </c>
      <c r="W21" s="14" t="e">
        <f>IF(C21="Not Applicable",0,(M21*V21)/(T21+U21))</f>
        <v>#REF!</v>
      </c>
    </row>
    <row r="22" spans="1:23" x14ac:dyDescent="0.3">
      <c r="A22" s="11">
        <v>20</v>
      </c>
      <c r="B22" s="13" t="s">
        <v>39</v>
      </c>
      <c r="C22" s="26"/>
      <c r="D22" s="9">
        <f>IF(C22="",0,VLOOKUP(C22,Dropdown!$AB$1:$AC$7,2,FALSE))</f>
        <v>0</v>
      </c>
      <c r="E22">
        <v>-3.8521057604455206E-2</v>
      </c>
      <c r="F22">
        <v>0</v>
      </c>
      <c r="G22">
        <v>4.964808451805227E-2</v>
      </c>
      <c r="H22">
        <v>-2.7373663779561026E-2</v>
      </c>
      <c r="I22">
        <v>2.0133474508294034E-2</v>
      </c>
      <c r="J22">
        <v>6.5810513489319766E-2</v>
      </c>
      <c r="K22">
        <v>6.4585061063549096E-2</v>
      </c>
      <c r="L22">
        <f>SUM(D22:K22)</f>
        <v>0.13428241219519893</v>
      </c>
      <c r="M22">
        <f>L22+$N$2</f>
        <v>1.734282412195199</v>
      </c>
      <c r="N22">
        <f>M22*50</f>
        <v>86.714120609759945</v>
      </c>
      <c r="O22" t="e">
        <f>VLOOKUP($B22,#REF!,21,FALSE)</f>
        <v>#REF!</v>
      </c>
      <c r="P22" t="e">
        <f>VLOOKUP($B22,#REF!,31,FALSE)</f>
        <v>#REF!</v>
      </c>
      <c r="Q22" t="e">
        <f>VLOOKUP($B22,#REF!,12,FALSE)</f>
        <v>#REF!</v>
      </c>
      <c r="R22" t="e">
        <f>(Q22*M22)/(O22+P22)</f>
        <v>#REF!</v>
      </c>
      <c r="S22" s="10">
        <v>5</v>
      </c>
      <c r="T22" t="e">
        <f>IF(O22=0,$X$2,O22)</f>
        <v>#REF!</v>
      </c>
      <c r="U22" t="e">
        <f>IF(P22=0,$Y$2,P22)</f>
        <v>#REF!</v>
      </c>
      <c r="V22" t="e">
        <f>IF(Q22=0,$Z$2,Q22)</f>
        <v>#REF!</v>
      </c>
      <c r="W22" s="14" t="e">
        <f>IF(C22="Not Applicable",0,(M22*V22)/(T22+U22))</f>
        <v>#REF!</v>
      </c>
    </row>
    <row r="23" spans="1:23" x14ac:dyDescent="0.3">
      <c r="A23" s="11">
        <v>21</v>
      </c>
      <c r="B23" s="13" t="s">
        <v>50</v>
      </c>
      <c r="C23" s="26"/>
      <c r="D23" s="9">
        <f>IF(C23="",0,VLOOKUP(C23,Dropdown!$AB$1:$AC$7,2,FALSE))</f>
        <v>0</v>
      </c>
      <c r="E23">
        <v>-1.2279415074225544E-2</v>
      </c>
      <c r="F23">
        <v>4.1822376749368506E-2</v>
      </c>
      <c r="G23">
        <v>0</v>
      </c>
      <c r="H23">
        <v>-2.5064003573532858E-2</v>
      </c>
      <c r="I23">
        <v>2.1098019811694242E-2</v>
      </c>
      <c r="J23">
        <v>0</v>
      </c>
      <c r="K23">
        <v>6.4585061063549096E-2</v>
      </c>
      <c r="L23">
        <f>SUM(D23:K23)</f>
        <v>9.0162038976853445E-2</v>
      </c>
      <c r="M23">
        <f>L23+$N$2</f>
        <v>1.6901620389768535</v>
      </c>
      <c r="N23">
        <f>M23*50</f>
        <v>84.508101948842679</v>
      </c>
      <c r="O23" t="e">
        <f>VLOOKUP($B23,#REF!,21,FALSE)</f>
        <v>#REF!</v>
      </c>
      <c r="P23" t="e">
        <f>VLOOKUP($B23,#REF!,31,FALSE)</f>
        <v>#REF!</v>
      </c>
      <c r="Q23" t="e">
        <f>VLOOKUP($B23,#REF!,12,FALSE)</f>
        <v>#REF!</v>
      </c>
      <c r="R23" t="e">
        <f>(Q23*M23)/(O23+P23)</f>
        <v>#REF!</v>
      </c>
      <c r="S23" s="10">
        <v>4</v>
      </c>
      <c r="T23" t="e">
        <f>IF(O23=0,$X$2,O23)</f>
        <v>#REF!</v>
      </c>
      <c r="U23" t="e">
        <f>IF(P23=0,$Y$2,P23)</f>
        <v>#REF!</v>
      </c>
      <c r="V23" t="e">
        <f>IF(Q23=0,$Z$2,Q23)</f>
        <v>#REF!</v>
      </c>
      <c r="W23" s="14" t="e">
        <f>IF(C23="Not Applicable",0,(M23*V23)/(T23+U23))</f>
        <v>#REF!</v>
      </c>
    </row>
    <row r="24" spans="1:23" x14ac:dyDescent="0.3">
      <c r="A24" s="11">
        <v>22</v>
      </c>
      <c r="B24" s="13" t="s">
        <v>41</v>
      </c>
      <c r="C24" s="26"/>
      <c r="D24" s="9">
        <f>IF(C24="",0,VLOOKUP(C24,Dropdown!$AB$1:$AC$7,2,FALSE))</f>
        <v>0</v>
      </c>
      <c r="E24">
        <v>0</v>
      </c>
      <c r="F24">
        <v>0</v>
      </c>
      <c r="G24">
        <v>0</v>
      </c>
      <c r="H24">
        <v>6.2835747912591791E-2</v>
      </c>
      <c r="I24">
        <v>0</v>
      </c>
      <c r="J24">
        <v>6.5810513489319766E-2</v>
      </c>
      <c r="K24">
        <v>6.4585061063549096E-2</v>
      </c>
      <c r="L24">
        <f>SUM(D24:K24)</f>
        <v>0.19323132246546065</v>
      </c>
      <c r="M24">
        <f>L24+$N$2</f>
        <v>1.7932313224654608</v>
      </c>
      <c r="N24">
        <f>M24*50</f>
        <v>89.661566123273033</v>
      </c>
      <c r="O24" t="e">
        <f>VLOOKUP($B24,#REF!,21,FALSE)</f>
        <v>#REF!</v>
      </c>
      <c r="P24" t="e">
        <f>VLOOKUP($B24,#REF!,31,FALSE)</f>
        <v>#REF!</v>
      </c>
      <c r="Q24" t="e">
        <f>VLOOKUP($B24,#REF!,12,FALSE)</f>
        <v>#REF!</v>
      </c>
      <c r="R24" t="e">
        <f>(Q24*M24)/(O24+P24)</f>
        <v>#REF!</v>
      </c>
      <c r="S24" s="10">
        <v>36</v>
      </c>
      <c r="T24" t="e">
        <f>IF(O24=0,$X$2,O24)</f>
        <v>#REF!</v>
      </c>
      <c r="U24" t="e">
        <f>IF(P24=0,$Y$2,P24)</f>
        <v>#REF!</v>
      </c>
      <c r="V24" t="e">
        <f>IF(Q24=0,$Z$2,Q24)</f>
        <v>#REF!</v>
      </c>
      <c r="W24" s="14" t="e">
        <f>IF(C24="Not Applicable",0,(M24*V24)/(T24+U24))</f>
        <v>#REF!</v>
      </c>
    </row>
    <row r="25" spans="1:23" x14ac:dyDescent="0.3">
      <c r="A25" s="11">
        <v>23</v>
      </c>
      <c r="B25" s="13" t="s">
        <v>42</v>
      </c>
      <c r="C25" s="26"/>
      <c r="D25" s="9">
        <f>IF(C25="",0,VLOOKUP(C25,Dropdown!$AB$1:$AC$7,2,FALSE))</f>
        <v>0</v>
      </c>
      <c r="E25">
        <v>2.0055637338902885E-3</v>
      </c>
      <c r="F25">
        <v>0</v>
      </c>
      <c r="G25">
        <v>0</v>
      </c>
      <c r="H25">
        <v>-2.7136879725784688E-2</v>
      </c>
      <c r="I25">
        <v>0</v>
      </c>
      <c r="J25">
        <v>0</v>
      </c>
      <c r="K25">
        <v>6.4585061063549096E-2</v>
      </c>
      <c r="L25">
        <f>SUM(D25:K25)</f>
        <v>3.9453745071654694E-2</v>
      </c>
      <c r="M25">
        <f>L25+$N$2</f>
        <v>1.6394537450716549</v>
      </c>
      <c r="N25">
        <f>M25*50</f>
        <v>81.972687253582748</v>
      </c>
      <c r="O25" t="e">
        <f>VLOOKUP($B25,#REF!,21,FALSE)</f>
        <v>#REF!</v>
      </c>
      <c r="P25" t="e">
        <f>VLOOKUP($B25,#REF!,31,FALSE)</f>
        <v>#REF!</v>
      </c>
      <c r="Q25" t="e">
        <f>VLOOKUP($B25,#REF!,12,FALSE)</f>
        <v>#REF!</v>
      </c>
      <c r="R25" t="e">
        <f>(Q25*M25)/(O25+P25)</f>
        <v>#REF!</v>
      </c>
      <c r="S25" s="10">
        <v>37</v>
      </c>
      <c r="T25" t="e">
        <f>IF(O25=0,$X$2,O25)</f>
        <v>#REF!</v>
      </c>
      <c r="U25" t="e">
        <f>IF(P25=0,$Y$2,P25)</f>
        <v>#REF!</v>
      </c>
      <c r="V25" t="e">
        <f>IF(Q25=0,$Z$2,Q25)</f>
        <v>#REF!</v>
      </c>
      <c r="W25" s="14" t="e">
        <f>IF(C25="Not Applicable",0,(M25*V25)/(T25+U25))</f>
        <v>#REF!</v>
      </c>
    </row>
    <row r="26" spans="1:23" x14ac:dyDescent="0.3">
      <c r="A26" s="11">
        <v>24</v>
      </c>
      <c r="B26" s="13" t="s">
        <v>43</v>
      </c>
      <c r="C26" s="26"/>
      <c r="D26" s="9">
        <f>IF(C26="",0,VLOOKUP(C26,Dropdown!$AB$1:$AC$7,2,FALSE))</f>
        <v>0</v>
      </c>
      <c r="E26">
        <v>0</v>
      </c>
      <c r="F26">
        <v>0</v>
      </c>
      <c r="G26">
        <v>0</v>
      </c>
      <c r="H26">
        <v>-2.7136879725784688E-2</v>
      </c>
      <c r="I26">
        <v>0</v>
      </c>
      <c r="J26">
        <v>0</v>
      </c>
      <c r="K26">
        <v>6.4585061063549096E-2</v>
      </c>
      <c r="L26">
        <f>SUM(D26:K26)</f>
        <v>3.7448181337764411E-2</v>
      </c>
      <c r="M26">
        <f>L26+$N$2</f>
        <v>1.6374481813377646</v>
      </c>
      <c r="N26">
        <f>M26*50</f>
        <v>81.872409066888224</v>
      </c>
      <c r="O26" t="e">
        <f>VLOOKUP($B26,#REF!,21,FALSE)</f>
        <v>#REF!</v>
      </c>
      <c r="P26" t="e">
        <f>VLOOKUP($B26,#REF!,31,FALSE)</f>
        <v>#REF!</v>
      </c>
      <c r="Q26" t="e">
        <f>VLOOKUP($B26,#REF!,12,FALSE)</f>
        <v>#REF!</v>
      </c>
      <c r="R26" t="e">
        <f>(Q26*M26)/(O26+P26)</f>
        <v>#REF!</v>
      </c>
      <c r="S26" s="10">
        <v>32</v>
      </c>
      <c r="T26" t="e">
        <f>IF(O26=0,$X$2,O26)</f>
        <v>#REF!</v>
      </c>
      <c r="U26" t="e">
        <f>IF(P26=0,$Y$2,P26)</f>
        <v>#REF!</v>
      </c>
      <c r="V26" t="e">
        <f>IF(Q26=0,$Z$2,Q26)</f>
        <v>#REF!</v>
      </c>
      <c r="W26" s="14" t="e">
        <f>IF(C26="Not Applicable",0,(M26*V26)/(T26+U26))</f>
        <v>#REF!</v>
      </c>
    </row>
    <row r="27" spans="1:23" x14ac:dyDescent="0.3">
      <c r="A27" s="11">
        <v>25</v>
      </c>
      <c r="B27" s="13" t="s">
        <v>44</v>
      </c>
      <c r="C27" s="26"/>
      <c r="D27" s="9">
        <f>IF(C27="",0,VLOOKUP(C27,Dropdown!$AB$1:$AC$7,2,FALSE))</f>
        <v>0</v>
      </c>
      <c r="E27">
        <v>0</v>
      </c>
      <c r="F27">
        <v>0</v>
      </c>
      <c r="G27">
        <v>0</v>
      </c>
      <c r="H27">
        <v>-2.7136879725784688E-2</v>
      </c>
      <c r="I27">
        <v>0</v>
      </c>
      <c r="J27">
        <v>0</v>
      </c>
      <c r="K27">
        <v>6.4585061063549096E-2</v>
      </c>
      <c r="L27">
        <f>SUM(D27:K27)</f>
        <v>3.7448181337764411E-2</v>
      </c>
      <c r="M27">
        <f>L27+$N$2</f>
        <v>1.6374481813377646</v>
      </c>
      <c r="N27">
        <f>M27*50</f>
        <v>81.872409066888224</v>
      </c>
      <c r="O27" t="e">
        <f>VLOOKUP($B27,#REF!,21,FALSE)</f>
        <v>#REF!</v>
      </c>
      <c r="P27" t="e">
        <f>VLOOKUP($B27,#REF!,31,FALSE)</f>
        <v>#REF!</v>
      </c>
      <c r="Q27" t="e">
        <f>VLOOKUP($B27,#REF!,12,FALSE)</f>
        <v>#REF!</v>
      </c>
      <c r="R27" t="e">
        <f>(Q27*M27)/(O27+P27)</f>
        <v>#REF!</v>
      </c>
      <c r="S27" s="10">
        <v>38</v>
      </c>
      <c r="T27" t="e">
        <f>IF(O27=0,$X$2,O27)</f>
        <v>#REF!</v>
      </c>
      <c r="U27" t="e">
        <f>IF(P27=0,$Y$2,P27)</f>
        <v>#REF!</v>
      </c>
      <c r="V27" t="e">
        <f>IF(Q27=0,$Z$2,Q27)</f>
        <v>#REF!</v>
      </c>
      <c r="W27" s="14" t="e">
        <f>IF(C27="Not Applicable",0,(M27*V27)/(T27+U27))</f>
        <v>#REF!</v>
      </c>
    </row>
    <row r="28" spans="1:23" x14ac:dyDescent="0.3">
      <c r="A28" s="11">
        <v>26</v>
      </c>
      <c r="B28" s="13" t="s">
        <v>51</v>
      </c>
      <c r="C28" s="26"/>
      <c r="D28" s="9">
        <f>IF(C28="",0,VLOOKUP(C28,Dropdown!$AB$1:$AC$7,2,FALSE))</f>
        <v>0</v>
      </c>
      <c r="E28">
        <v>-1.2279415074225544E-2</v>
      </c>
      <c r="F28">
        <v>4.1822376749368506E-2</v>
      </c>
      <c r="G28">
        <v>0</v>
      </c>
      <c r="H28">
        <v>-1.0663043269915901E-2</v>
      </c>
      <c r="I28">
        <v>2.1098019811694242E-2</v>
      </c>
      <c r="J28">
        <v>0</v>
      </c>
      <c r="K28">
        <v>6.4585061063549096E-2</v>
      </c>
      <c r="L28">
        <f>SUM(D28:K28)</f>
        <v>0.1045629992804704</v>
      </c>
      <c r="M28">
        <f>L28+$N$2</f>
        <v>1.7045629992804705</v>
      </c>
      <c r="N28">
        <f>M28*50</f>
        <v>85.22814996402353</v>
      </c>
      <c r="O28" t="e">
        <f>VLOOKUP($B28,#REF!,21,FALSE)</f>
        <v>#REF!</v>
      </c>
      <c r="P28" t="e">
        <f>VLOOKUP($B28,#REF!,31,FALSE)</f>
        <v>#REF!</v>
      </c>
      <c r="Q28" t="e">
        <f>VLOOKUP($B28,#REF!,12,FALSE)</f>
        <v>#REF!</v>
      </c>
      <c r="R28" t="e">
        <f>(Q28*M28)/(O28+P28)</f>
        <v>#REF!</v>
      </c>
      <c r="S28" s="10">
        <v>2</v>
      </c>
      <c r="T28" t="e">
        <f>IF(O28=0,$X$2,O28)</f>
        <v>#REF!</v>
      </c>
      <c r="U28" t="e">
        <f>IF(P28=0,$Y$2,P28)</f>
        <v>#REF!</v>
      </c>
      <c r="V28" t="e">
        <f>IF(Q28=0,$Z$2,Q28)</f>
        <v>#REF!</v>
      </c>
      <c r="W28" s="14" t="e">
        <f>IF(C28="Not Applicable",0,(M28*V28)/(T28+U28))</f>
        <v>#REF!</v>
      </c>
    </row>
    <row r="29" spans="1:23" x14ac:dyDescent="0.3">
      <c r="A29" s="11">
        <v>27</v>
      </c>
      <c r="B29" s="13" t="s">
        <v>48</v>
      </c>
      <c r="C29" s="26"/>
      <c r="D29" s="9">
        <f>IF(C29="",0,VLOOKUP(C29,Dropdown!$AB$1:$AC$7,2,FALSE))</f>
        <v>0</v>
      </c>
      <c r="E29">
        <v>0</v>
      </c>
      <c r="F29">
        <v>0</v>
      </c>
      <c r="G29">
        <v>0</v>
      </c>
      <c r="H29">
        <v>0</v>
      </c>
      <c r="I29">
        <v>4.8740363496355403E-2</v>
      </c>
      <c r="J29">
        <v>6.5810513489319766E-2</v>
      </c>
      <c r="K29">
        <v>0</v>
      </c>
      <c r="L29">
        <f>SUM(D29:K29)</f>
        <v>0.11455087698567518</v>
      </c>
      <c r="M29">
        <f>L29+$N$2</f>
        <v>1.7145508769856752</v>
      </c>
      <c r="N29">
        <f>M29*50</f>
        <v>85.727543849283762</v>
      </c>
      <c r="O29" t="e">
        <f>VLOOKUP($B29,#REF!,21,FALSE)</f>
        <v>#REF!</v>
      </c>
      <c r="P29" t="e">
        <f>VLOOKUP($B29,#REF!,31,FALSE)</f>
        <v>#REF!</v>
      </c>
      <c r="Q29" t="e">
        <f>VLOOKUP($B29,#REF!,12,FALSE)</f>
        <v>#REF!</v>
      </c>
      <c r="R29" t="e">
        <f>(Q29*M29)/(O29+P29)</f>
        <v>#REF!</v>
      </c>
      <c r="S29" s="10">
        <v>24</v>
      </c>
      <c r="T29" t="e">
        <f>IF(O29=0,$X$2,O29)</f>
        <v>#REF!</v>
      </c>
      <c r="U29" t="e">
        <f>IF(P29=0,$Y$2,P29)</f>
        <v>#REF!</v>
      </c>
      <c r="V29" t="e">
        <f>IF(Q29=0,$Z$2,Q29)</f>
        <v>#REF!</v>
      </c>
      <c r="W29" s="14" t="e">
        <f>IF(C29="Not Applicable",0,(M29*V29)/(T29+U29))</f>
        <v>#REF!</v>
      </c>
    </row>
    <row r="30" spans="1:23" x14ac:dyDescent="0.3">
      <c r="A30" s="11">
        <v>28</v>
      </c>
      <c r="B30" s="13" t="s">
        <v>49</v>
      </c>
      <c r="C30" s="26"/>
      <c r="D30" s="9">
        <f>IF(C30="",0,VLOOKUP(C30,Dropdown!$AB$1:$AC$7,2,FALSE))</f>
        <v>0</v>
      </c>
      <c r="E30">
        <v>-1.9866835394916679E-2</v>
      </c>
      <c r="F30">
        <v>0</v>
      </c>
      <c r="G30">
        <v>0</v>
      </c>
      <c r="H30">
        <v>-5.9525146404007544E-2</v>
      </c>
      <c r="I30">
        <v>4.8740363496355403E-2</v>
      </c>
      <c r="J30">
        <v>0</v>
      </c>
      <c r="K30">
        <v>6.4585061063549096E-2</v>
      </c>
      <c r="L30">
        <f>SUM(D30:K30)</f>
        <v>3.393344276098028E-2</v>
      </c>
      <c r="M30">
        <f>L30+$N$2</f>
        <v>1.6339334427609804</v>
      </c>
      <c r="N30">
        <f>M30*50</f>
        <v>81.696672138049024</v>
      </c>
      <c r="O30" t="e">
        <f>VLOOKUP($B30,#REF!,21,FALSE)</f>
        <v>#REF!</v>
      </c>
      <c r="P30" t="e">
        <f>VLOOKUP($B30,#REF!,31,FALSE)</f>
        <v>#REF!</v>
      </c>
      <c r="Q30" t="e">
        <f>VLOOKUP($B30,#REF!,12,FALSE)</f>
        <v>#REF!</v>
      </c>
      <c r="R30" t="e">
        <f>(Q30*M30)/(O30+P30)</f>
        <v>#REF!</v>
      </c>
      <c r="S30" s="10">
        <v>26</v>
      </c>
      <c r="T30" t="e">
        <f>IF(O30=0,$X$2,O30)</f>
        <v>#REF!</v>
      </c>
      <c r="U30" t="e">
        <f>IF(P30=0,$Y$2,P30)</f>
        <v>#REF!</v>
      </c>
      <c r="V30" t="e">
        <f>IF(Q30=0,$Z$2,Q30)</f>
        <v>#REF!</v>
      </c>
      <c r="W30" s="14" t="e">
        <f>IF(C30="Not Applicable",0,(M30*V30)/(T30+U30))</f>
        <v>#REF!</v>
      </c>
    </row>
    <row r="31" spans="1:23" x14ac:dyDescent="0.3">
      <c r="A31" s="11">
        <v>29</v>
      </c>
      <c r="B31" s="13" t="s">
        <v>46</v>
      </c>
      <c r="C31" s="26"/>
      <c r="D31" s="9">
        <f>IF(C31="",0,VLOOKUP(C31,Dropdown!$AB$1:$AC$7,2,FALSE))</f>
        <v>0</v>
      </c>
      <c r="E31">
        <v>0</v>
      </c>
      <c r="F31">
        <v>0</v>
      </c>
      <c r="G31">
        <v>4.964808451805227E-2</v>
      </c>
      <c r="H31">
        <v>-5.9525146404007544E-2</v>
      </c>
      <c r="I31">
        <v>0</v>
      </c>
      <c r="J31">
        <v>6.5810513489319766E-2</v>
      </c>
      <c r="K31">
        <v>0</v>
      </c>
      <c r="L31">
        <f>SUM(D31:K31)</f>
        <v>5.5933451603364492E-2</v>
      </c>
      <c r="M31">
        <f>L31+$N$2</f>
        <v>1.6559334516033646</v>
      </c>
      <c r="N31">
        <f>M31*50</f>
        <v>82.796672580168234</v>
      </c>
      <c r="O31" t="e">
        <f>VLOOKUP($B31,#REF!,21,FALSE)</f>
        <v>#REF!</v>
      </c>
      <c r="P31" t="e">
        <f>VLOOKUP($B31,#REF!,31,FALSE)</f>
        <v>#REF!</v>
      </c>
      <c r="Q31" t="e">
        <f>VLOOKUP($B31,#REF!,12,FALSE)</f>
        <v>#REF!</v>
      </c>
      <c r="R31" t="e">
        <f>(Q31*M31)/(O31+P31)</f>
        <v>#REF!</v>
      </c>
      <c r="S31" s="10">
        <v>11</v>
      </c>
      <c r="T31" t="e">
        <f>IF(O31=0,$X$2,O31)</f>
        <v>#REF!</v>
      </c>
      <c r="U31" t="e">
        <f>IF(P31=0,$Y$2,P31)</f>
        <v>#REF!</v>
      </c>
      <c r="V31" t="e">
        <f>IF(Q31=0,$Z$2,Q31)</f>
        <v>#REF!</v>
      </c>
      <c r="W31" s="14" t="e">
        <f>IF(C31="Not Applicable",0,(M31*V31)/(T31+U31))</f>
        <v>#REF!</v>
      </c>
    </row>
    <row r="32" spans="1:23" x14ac:dyDescent="0.3">
      <c r="A32" s="11">
        <v>30</v>
      </c>
      <c r="B32" s="13" t="s">
        <v>45</v>
      </c>
      <c r="C32" s="26"/>
      <c r="D32" s="9">
        <f>IF(C32="",0,VLOOKUP(C32,Dropdown!$AB$1:$AC$7,2,FALSE))</f>
        <v>0</v>
      </c>
      <c r="E32">
        <v>0</v>
      </c>
      <c r="F32">
        <v>0</v>
      </c>
      <c r="G32">
        <v>4.964808451805227E-2</v>
      </c>
      <c r="H32">
        <v>-5.9525146404007544E-2</v>
      </c>
      <c r="I32">
        <v>0</v>
      </c>
      <c r="J32">
        <v>0</v>
      </c>
      <c r="K32">
        <v>0</v>
      </c>
      <c r="L32">
        <f>SUM(D32:K32)</f>
        <v>-9.8770618859552739E-3</v>
      </c>
      <c r="M32">
        <f>L32+$N$2</f>
        <v>1.5901229381140447</v>
      </c>
      <c r="N32">
        <f>M32*50</f>
        <v>79.506146905702238</v>
      </c>
      <c r="O32" t="e">
        <f>VLOOKUP($B32,#REF!,21,FALSE)</f>
        <v>#REF!</v>
      </c>
      <c r="P32" t="e">
        <f>VLOOKUP($B32,#REF!,31,FALSE)</f>
        <v>#REF!</v>
      </c>
      <c r="Q32" t="e">
        <f>VLOOKUP($B32,#REF!,12,FALSE)</f>
        <v>#REF!</v>
      </c>
      <c r="R32" t="e">
        <f>(Q32*M32)/(O32+P32)</f>
        <v>#REF!</v>
      </c>
      <c r="S32" s="10">
        <v>44</v>
      </c>
      <c r="T32" t="e">
        <f>IF(O32=0,$X$2,O32)</f>
        <v>#REF!</v>
      </c>
      <c r="U32" t="e">
        <f>IF(P32=0,$Y$2,P32)</f>
        <v>#REF!</v>
      </c>
      <c r="V32" t="e">
        <f>IF(Q32=0,$Z$2,Q32)</f>
        <v>#REF!</v>
      </c>
      <c r="W32" s="14" t="e">
        <f>IF(C32="Not Applicable",0,(M32*V32)/(T32+U32))</f>
        <v>#REF!</v>
      </c>
    </row>
    <row r="33" spans="1:23" x14ac:dyDescent="0.3">
      <c r="A33" s="11">
        <v>31</v>
      </c>
      <c r="B33" s="13" t="s">
        <v>55</v>
      </c>
      <c r="C33" s="26"/>
      <c r="D33" s="9">
        <f>IF(C33="",0,VLOOKUP(C33,Dropdown!$AB$1:$AC$7,2,FALSE))</f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6.5810513489319766E-2</v>
      </c>
      <c r="K33">
        <v>0</v>
      </c>
      <c r="L33">
        <f>SUM(D33:K33)</f>
        <v>6.5810513489319766E-2</v>
      </c>
      <c r="M33">
        <f>L33+$N$2</f>
        <v>1.66581051348932</v>
      </c>
      <c r="N33">
        <f>M33*50</f>
        <v>83.290525674465997</v>
      </c>
      <c r="O33" t="e">
        <f>VLOOKUP($B33,#REF!,21,FALSE)</f>
        <v>#REF!</v>
      </c>
      <c r="P33" t="e">
        <f>VLOOKUP($B33,#REF!,31,FALSE)</f>
        <v>#REF!</v>
      </c>
      <c r="Q33" t="e">
        <f>VLOOKUP($B33,#REF!,12,FALSE)</f>
        <v>#REF!</v>
      </c>
      <c r="R33" t="e">
        <f>(Q33*M33)/(O33+P33)</f>
        <v>#REF!</v>
      </c>
      <c r="S33" s="10">
        <v>45</v>
      </c>
      <c r="T33" t="e">
        <f>IF(O33=0,$X$2,O33)</f>
        <v>#REF!</v>
      </c>
      <c r="U33" t="e">
        <f>IF(P33=0,$Y$2,P33)</f>
        <v>#REF!</v>
      </c>
      <c r="V33" t="e">
        <f>IF(Q33=0,$Z$2,Q33)</f>
        <v>#REF!</v>
      </c>
      <c r="W33" s="14" t="e">
        <f>IF(C33="Not Applicable",0,(M33*V33)/(T33+U33))</f>
        <v>#REF!</v>
      </c>
    </row>
    <row r="34" spans="1:23" x14ac:dyDescent="0.3">
      <c r="A34" s="11">
        <v>32</v>
      </c>
      <c r="B34" s="13" t="s">
        <v>53</v>
      </c>
      <c r="C34" s="26"/>
      <c r="D34" s="9">
        <f>IF(C34="",0,VLOOKUP(C34,Dropdown!$AB$1:$AC$7,2,FALSE))</f>
        <v>0</v>
      </c>
      <c r="E34">
        <v>0</v>
      </c>
      <c r="F34">
        <v>0</v>
      </c>
      <c r="G34">
        <v>4.964808451805227E-2</v>
      </c>
      <c r="H34">
        <v>2.315712627288357E-2</v>
      </c>
      <c r="I34">
        <v>-2.4577674999012237E-3</v>
      </c>
      <c r="J34">
        <v>0</v>
      </c>
      <c r="K34">
        <v>6.4585061063549096E-2</v>
      </c>
      <c r="L34">
        <f>SUM(D34:K34)</f>
        <v>0.1349325043545837</v>
      </c>
      <c r="M34">
        <f>L34+$N$2</f>
        <v>1.7349325043545838</v>
      </c>
      <c r="N34">
        <f>M34*50</f>
        <v>86.746625217729189</v>
      </c>
      <c r="O34" t="e">
        <f>VLOOKUP($B34,#REF!,21,FALSE)</f>
        <v>#REF!</v>
      </c>
      <c r="P34" t="e">
        <f>VLOOKUP($B34,#REF!,31,FALSE)</f>
        <v>#REF!</v>
      </c>
      <c r="Q34" t="e">
        <f>VLOOKUP($B34,#REF!,12,FALSE)</f>
        <v>#REF!</v>
      </c>
      <c r="R34" t="e">
        <f>(Q34*M34)/(O34+P34)</f>
        <v>#REF!</v>
      </c>
      <c r="S34" s="10">
        <v>27</v>
      </c>
      <c r="T34" t="e">
        <f>IF(O34=0,$X$2,O34)</f>
        <v>#REF!</v>
      </c>
      <c r="U34" t="e">
        <f>IF(P34=0,$Y$2,P34)</f>
        <v>#REF!</v>
      </c>
      <c r="V34" t="e">
        <f>IF(Q34=0,$Z$2,Q34)</f>
        <v>#REF!</v>
      </c>
      <c r="W34" s="14" t="e">
        <f>IF(C34="Not Applicable",0,(M34*V34)/(T34+U34))</f>
        <v>#REF!</v>
      </c>
    </row>
    <row r="35" spans="1:23" x14ac:dyDescent="0.3">
      <c r="A35" s="11">
        <v>33</v>
      </c>
      <c r="B35" s="13" t="s">
        <v>54</v>
      </c>
      <c r="C35" s="26"/>
      <c r="D35" s="9">
        <f>IF(C35="",0,VLOOKUP(C35,Dropdown!$AB$1:$AC$7,2,FALSE))</f>
        <v>0</v>
      </c>
      <c r="E35">
        <v>2.8316768351949722E-3</v>
      </c>
      <c r="F35">
        <v>0</v>
      </c>
      <c r="G35">
        <v>4.964808451805227E-2</v>
      </c>
      <c r="H35">
        <v>2.315712627288357E-2</v>
      </c>
      <c r="I35">
        <v>0</v>
      </c>
      <c r="J35">
        <v>0</v>
      </c>
      <c r="K35">
        <v>6.4585061063549096E-2</v>
      </c>
      <c r="L35">
        <f>SUM(D35:K35)</f>
        <v>0.14022194868967991</v>
      </c>
      <c r="M35">
        <f>L35+$N$2</f>
        <v>1.7402219486896799</v>
      </c>
      <c r="N35">
        <f>M35*50</f>
        <v>87.011097434484</v>
      </c>
      <c r="O35" t="e">
        <f>VLOOKUP($B35,#REF!,21,FALSE)</f>
        <v>#REF!</v>
      </c>
      <c r="P35" t="e">
        <f>VLOOKUP($B35,#REF!,31,FALSE)</f>
        <v>#REF!</v>
      </c>
      <c r="Q35" t="e">
        <f>VLOOKUP($B35,#REF!,12,FALSE)</f>
        <v>#REF!</v>
      </c>
      <c r="R35" t="e">
        <f>(Q35*M35)/(O35+P35)</f>
        <v>#REF!</v>
      </c>
      <c r="S35" s="10">
        <v>29</v>
      </c>
      <c r="T35" t="e">
        <f>IF(O35=0,$X$2,O35)</f>
        <v>#REF!</v>
      </c>
      <c r="U35" t="e">
        <f>IF(P35=0,$Y$2,P35)</f>
        <v>#REF!</v>
      </c>
      <c r="V35" t="e">
        <f>IF(Q35=0,$Z$2,Q35)</f>
        <v>#REF!</v>
      </c>
      <c r="W35" s="14" t="e">
        <f>IF(C35="Not Applicable",0,(M35*V35)/(T35+U35))</f>
        <v>#REF!</v>
      </c>
    </row>
    <row r="36" spans="1:23" x14ac:dyDescent="0.3">
      <c r="A36" s="11">
        <v>34</v>
      </c>
      <c r="B36" s="13" t="s">
        <v>52</v>
      </c>
      <c r="C36" s="26"/>
      <c r="D36" s="9">
        <f>IF(C36="",0,VLOOKUP(C36,Dropdown!$AB$1:$AC$7,2,FALSE))</f>
        <v>0</v>
      </c>
      <c r="E36">
        <v>0</v>
      </c>
      <c r="F36">
        <v>0</v>
      </c>
      <c r="G36">
        <v>0</v>
      </c>
      <c r="H36">
        <v>-1.785714285714286E-2</v>
      </c>
      <c r="I36">
        <v>0</v>
      </c>
      <c r="J36">
        <v>6.5810513489319766E-2</v>
      </c>
      <c r="K36">
        <v>0</v>
      </c>
      <c r="L36">
        <f>SUM(D36:K36)</f>
        <v>4.7953370632176903E-2</v>
      </c>
      <c r="M36">
        <f>L36+$N$2</f>
        <v>1.647953370632177</v>
      </c>
      <c r="N36">
        <f>M36*50</f>
        <v>82.397668531608844</v>
      </c>
      <c r="O36" t="e">
        <f>VLOOKUP($B36,#REF!,21,FALSE)</f>
        <v>#REF!</v>
      </c>
      <c r="P36" t="e">
        <f>VLOOKUP($B36,#REF!,31,FALSE)</f>
        <v>#REF!</v>
      </c>
      <c r="Q36" t="e">
        <f>VLOOKUP($B36,#REF!,12,FALSE)</f>
        <v>#REF!</v>
      </c>
      <c r="R36" t="e">
        <f>(Q36*M36)/(O36+P36)</f>
        <v>#REF!</v>
      </c>
      <c r="S36" s="10"/>
      <c r="T36" t="e">
        <f>IF(O36=0,$X$2,O36)</f>
        <v>#REF!</v>
      </c>
      <c r="U36" t="e">
        <f>IF(P36=0,$Y$2,P36)</f>
        <v>#REF!</v>
      </c>
      <c r="V36" t="e">
        <f>IF(Q36=0,$Z$2,Q36)</f>
        <v>#REF!</v>
      </c>
      <c r="W36" s="14" t="e">
        <f>IF(C36="Not Applicable",0,(M36*V36)/(T36+U36))</f>
        <v>#REF!</v>
      </c>
    </row>
    <row r="37" spans="1:23" x14ac:dyDescent="0.3">
      <c r="A37" s="27">
        <v>35</v>
      </c>
      <c r="B37" s="28" t="s">
        <v>56</v>
      </c>
      <c r="C37" s="26"/>
      <c r="D37" s="9">
        <f>IF(C37="",0,VLOOKUP(C37,Dropdown!$AB$1:$AC$7,2,FALSE))</f>
        <v>0</v>
      </c>
      <c r="E37">
        <v>5.0042930752273784E-2</v>
      </c>
      <c r="F37">
        <v>2.6576692198647757E-2</v>
      </c>
      <c r="G37">
        <v>9.5010252655773272E-3</v>
      </c>
      <c r="H37">
        <v>7.1428571428571438E-2</v>
      </c>
      <c r="I37">
        <v>2.5758994401527149E-2</v>
      </c>
      <c r="J37">
        <v>6.5810513489319766E-2</v>
      </c>
      <c r="K37">
        <v>-5.5629770333197555E-2</v>
      </c>
      <c r="L37">
        <f>SUM(D37:K37)</f>
        <v>0.19348895720271966</v>
      </c>
      <c r="M37">
        <f>L37+$N$2</f>
        <v>1.7934889572027197</v>
      </c>
      <c r="N37">
        <f>M37*50</f>
        <v>89.674447860135984</v>
      </c>
      <c r="O37" t="e">
        <f>VLOOKUP($B37,#REF!,21,FALSE)</f>
        <v>#REF!</v>
      </c>
      <c r="P37" t="e">
        <f>VLOOKUP($B37,#REF!,31,FALSE)</f>
        <v>#REF!</v>
      </c>
      <c r="Q37" t="e">
        <f>VLOOKUP($B37,#REF!,12,FALSE)</f>
        <v>#REF!</v>
      </c>
      <c r="R37" t="e">
        <f>(Q37*M37)/(O37+P37)</f>
        <v>#REF!</v>
      </c>
      <c r="S37" s="43">
        <v>30</v>
      </c>
      <c r="T37" t="e">
        <f>IF(O37=0,$X$2,O37)</f>
        <v>#REF!</v>
      </c>
      <c r="U37" t="e">
        <f>IF(P37=0,$Y$2,P37)</f>
        <v>#REF!</v>
      </c>
      <c r="V37" t="e">
        <f>IF(Q37=0,$Z$2,Q37)</f>
        <v>#REF!</v>
      </c>
      <c r="W37" s="14" t="e">
        <f>IF(C37="Not Applicable",0,(M37*V37)/(T37+U37))</f>
        <v>#REF!</v>
      </c>
    </row>
    <row r="38" spans="1:23" x14ac:dyDescent="0.3">
      <c r="A38" s="11">
        <v>36</v>
      </c>
      <c r="B38" s="13" t="s">
        <v>58</v>
      </c>
      <c r="C38" s="26"/>
      <c r="D38" s="9">
        <f>IF(C38="",0,VLOOKUP(C38,Dropdown!$AB$1:$AC$7,2,FALSE))</f>
        <v>0</v>
      </c>
      <c r="E38">
        <v>0</v>
      </c>
      <c r="F38">
        <v>0</v>
      </c>
      <c r="G38">
        <v>0</v>
      </c>
      <c r="H38">
        <v>1.3977134556679413E-2</v>
      </c>
      <c r="I38">
        <v>0</v>
      </c>
      <c r="J38">
        <v>6.5810513489319766E-2</v>
      </c>
      <c r="K38">
        <v>-5.5629770333197555E-2</v>
      </c>
      <c r="L38">
        <f>SUM(D38:K38)</f>
        <v>2.4157877712801624E-2</v>
      </c>
      <c r="M38">
        <f>L38+$N$2</f>
        <v>1.6241578777128016</v>
      </c>
      <c r="N38">
        <f>M38*50</f>
        <v>81.207893885640075</v>
      </c>
      <c r="O38" t="e">
        <f>VLOOKUP($B38,#REF!,21,FALSE)</f>
        <v>#REF!</v>
      </c>
      <c r="P38" t="e">
        <f>VLOOKUP($B38,#REF!,31,FALSE)</f>
        <v>#REF!</v>
      </c>
      <c r="Q38" t="e">
        <f>VLOOKUP($B38,#REF!,12,FALSE)</f>
        <v>#REF!</v>
      </c>
      <c r="R38" t="e">
        <f>(Q38*M38)/(O38+P38)</f>
        <v>#REF!</v>
      </c>
      <c r="S38" s="10">
        <v>43</v>
      </c>
      <c r="T38" t="e">
        <f>IF(O38=0,$X$2,O38)</f>
        <v>#REF!</v>
      </c>
      <c r="U38" t="e">
        <f>IF(P38=0,$Y$2,P38)</f>
        <v>#REF!</v>
      </c>
      <c r="V38" t="e">
        <f>IF(Q38=0,$Z$2,Q38)</f>
        <v>#REF!</v>
      </c>
      <c r="W38" s="14" t="e">
        <f>IF(C38="Not Applicable",0,(M38*V38)/(T38+U38))</f>
        <v>#REF!</v>
      </c>
    </row>
    <row r="39" spans="1:23" x14ac:dyDescent="0.3">
      <c r="A39" s="11">
        <v>37</v>
      </c>
      <c r="B39" s="13" t="s">
        <v>59</v>
      </c>
      <c r="C39" s="26"/>
      <c r="D39" s="9">
        <f>IF(C39="",0,VLOOKUP(C39,Dropdown!$AB$1:$AC$7,2,FALSE))</f>
        <v>0</v>
      </c>
      <c r="E39">
        <v>3.0047188595041366E-2</v>
      </c>
      <c r="F39">
        <v>3.1901437413588925E-2</v>
      </c>
      <c r="G39">
        <v>-1.202918725462172E-2</v>
      </c>
      <c r="H39">
        <v>1.9554112604620425E-2</v>
      </c>
      <c r="I39">
        <v>0</v>
      </c>
      <c r="J39">
        <v>6.5810513489319766E-2</v>
      </c>
      <c r="K39">
        <v>6.4585061063549096E-2</v>
      </c>
      <c r="L39">
        <f>SUM(D39:K39)</f>
        <v>0.19986912591149786</v>
      </c>
      <c r="M39">
        <f>L39+$N$2</f>
        <v>1.7998691259114978</v>
      </c>
      <c r="N39">
        <f>M39*50</f>
        <v>89.993456295574887</v>
      </c>
      <c r="O39" t="e">
        <f>VLOOKUP($B39,#REF!,21,FALSE)</f>
        <v>#REF!</v>
      </c>
      <c r="P39" t="e">
        <f>VLOOKUP($B39,#REF!,31,FALSE)</f>
        <v>#REF!</v>
      </c>
      <c r="Q39" t="e">
        <f>VLOOKUP($B39,#REF!,12,FALSE)</f>
        <v>#REF!</v>
      </c>
      <c r="R39" t="e">
        <f>(Q39*M39)/(O39+P39)</f>
        <v>#REF!</v>
      </c>
      <c r="S39" s="10">
        <v>42</v>
      </c>
      <c r="T39" t="e">
        <f>IF(O39=0,$X$2,O39)</f>
        <v>#REF!</v>
      </c>
      <c r="U39" t="e">
        <f>IF(P39=0,$Y$2,P39)</f>
        <v>#REF!</v>
      </c>
      <c r="V39" t="e">
        <f>IF(Q39=0,$Z$2,Q39)</f>
        <v>#REF!</v>
      </c>
      <c r="W39" s="14" t="e">
        <f>IF(C39="Not Applicable",0,(M39*V39)/(T39+U39))</f>
        <v>#REF!</v>
      </c>
    </row>
    <row r="40" spans="1:23" x14ac:dyDescent="0.3">
      <c r="A40" s="11">
        <v>38</v>
      </c>
      <c r="B40" s="13" t="s">
        <v>60</v>
      </c>
      <c r="C40" s="26"/>
      <c r="D40" s="9">
        <f>IF(C40="",0,VLOOKUP(C40,Dropdown!$AB$1:$AC$7,2,FALSE))</f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6.5810513489319766E-2</v>
      </c>
      <c r="K40">
        <v>6.4585061063549096E-2</v>
      </c>
      <c r="L40" s="9">
        <f>SUM(D40:K40)</f>
        <v>0.13039557455286888</v>
      </c>
      <c r="M40">
        <f>L40+$N$2</f>
        <v>1.730395574552869</v>
      </c>
      <c r="N40">
        <f>M40*50</f>
        <v>86.519778727643455</v>
      </c>
      <c r="O40" t="e">
        <f>VLOOKUP($B40,#REF!,21,FALSE)</f>
        <v>#REF!</v>
      </c>
      <c r="P40" t="e">
        <f>VLOOKUP($B40,#REF!,31,FALSE)</f>
        <v>#REF!</v>
      </c>
      <c r="Q40" t="e">
        <f>VLOOKUP($B40,#REF!,12,FALSE)</f>
        <v>#REF!</v>
      </c>
      <c r="R40" t="e">
        <f>(Q40*M40)/(O40+P40)</f>
        <v>#REF!</v>
      </c>
      <c r="S40" s="10">
        <v>39</v>
      </c>
      <c r="T40" t="e">
        <f>IF(O40=0,$X$2,O40)</f>
        <v>#REF!</v>
      </c>
      <c r="U40" t="e">
        <f>IF(P40=0,$Y$2,P40)</f>
        <v>#REF!</v>
      </c>
      <c r="V40" t="e">
        <f>IF(Q40=0,$Z$2,Q40)</f>
        <v>#REF!</v>
      </c>
      <c r="W40" s="14" t="e">
        <f>IF(C40="Not Applicable",0,(M40*V40)/(T40+U40))</f>
        <v>#REF!</v>
      </c>
    </row>
    <row r="41" spans="1:23" x14ac:dyDescent="0.3">
      <c r="A41" s="11">
        <v>39</v>
      </c>
      <c r="B41" s="13" t="s">
        <v>57</v>
      </c>
      <c r="C41" s="26"/>
      <c r="D41" s="9">
        <f>IF(C41="",0,VLOOKUP(C41,Dropdown!$AB$1:$AC$7,2,FALSE))</f>
        <v>0</v>
      </c>
      <c r="E41">
        <v>0</v>
      </c>
      <c r="F41">
        <v>0</v>
      </c>
      <c r="G41">
        <v>0</v>
      </c>
      <c r="H41">
        <v>0</v>
      </c>
      <c r="I41">
        <v>-7.8340170666844844E-2</v>
      </c>
      <c r="J41">
        <v>0</v>
      </c>
      <c r="K41">
        <v>6.4585061063549096E-2</v>
      </c>
      <c r="L41">
        <f>SUM(D41:K41)</f>
        <v>-1.3755109603295748E-2</v>
      </c>
      <c r="M41">
        <f>L41+$N$2</f>
        <v>1.5862448903967044</v>
      </c>
      <c r="N41">
        <f>M41*50</f>
        <v>79.312244519835218</v>
      </c>
      <c r="O41" t="e">
        <f>VLOOKUP($B41,#REF!,21,FALSE)</f>
        <v>#REF!</v>
      </c>
      <c r="P41" t="e">
        <f>VLOOKUP($B41,#REF!,31,FALSE)</f>
        <v>#REF!</v>
      </c>
      <c r="Q41" t="e">
        <f>VLOOKUP($B41,#REF!,12,FALSE)</f>
        <v>#REF!</v>
      </c>
      <c r="R41" t="e">
        <f>(Q41*M41)/(O41+P41)</f>
        <v>#REF!</v>
      </c>
      <c r="S41" s="10"/>
      <c r="T41" t="e">
        <f>IF(O41=0,$X$2,O41)</f>
        <v>#REF!</v>
      </c>
      <c r="U41" t="e">
        <f>IF(P41=0,$Y$2,P41)</f>
        <v>#REF!</v>
      </c>
      <c r="V41" t="e">
        <f>IF(Q41=0,$Z$2,Q41)</f>
        <v>#REF!</v>
      </c>
      <c r="W41" s="14" t="e">
        <f>IF(C41="Not Applicable",0,(M41*V41)/(T41+U41))</f>
        <v>#REF!</v>
      </c>
    </row>
    <row r="42" spans="1:23" x14ac:dyDescent="0.3">
      <c r="A42" s="27">
        <v>40</v>
      </c>
      <c r="B42" s="28" t="s">
        <v>61</v>
      </c>
      <c r="C42" s="26"/>
      <c r="D42" s="9">
        <f>IF(C42="",0,VLOOKUP(C42,Dropdown!$AB$1:$AC$7,2,FALSE))</f>
        <v>0</v>
      </c>
      <c r="E42">
        <v>3.0047188595041366E-2</v>
      </c>
      <c r="F42">
        <v>-3.6542040263914735E-3</v>
      </c>
      <c r="G42">
        <v>2.7664031554261784E-2</v>
      </c>
      <c r="H42">
        <v>0</v>
      </c>
      <c r="I42">
        <v>0</v>
      </c>
      <c r="J42">
        <v>0</v>
      </c>
      <c r="K42">
        <v>6.4585061063549096E-2</v>
      </c>
      <c r="L42">
        <f>SUM(D42:K42)</f>
        <v>0.11864207718646078</v>
      </c>
      <c r="M42">
        <f>L42+$N$2</f>
        <v>1.7186420771864608</v>
      </c>
      <c r="N42">
        <f>M42*50</f>
        <v>85.932103859323036</v>
      </c>
      <c r="O42" t="e">
        <f>VLOOKUP($B42,#REF!,21,FALSE)</f>
        <v>#REF!</v>
      </c>
      <c r="P42" t="e">
        <f>VLOOKUP($B42,#REF!,31,FALSE)</f>
        <v>#REF!</v>
      </c>
      <c r="Q42" t="e">
        <f>VLOOKUP($B42,#REF!,12,FALSE)</f>
        <v>#REF!</v>
      </c>
      <c r="R42" t="e">
        <f>(Q42*M42)/(O42+P42)</f>
        <v>#REF!</v>
      </c>
      <c r="S42" s="43">
        <v>12</v>
      </c>
      <c r="T42" t="e">
        <f>IF(O42=0,$X$2,O42)</f>
        <v>#REF!</v>
      </c>
      <c r="U42" t="e">
        <f>IF(P42=0,$Y$2,P42)</f>
        <v>#REF!</v>
      </c>
      <c r="V42" t="e">
        <f>IF(Q42=0,$Z$2,Q42)</f>
        <v>#REF!</v>
      </c>
      <c r="W42" s="14" t="e">
        <f>IF(C42="Not Applicable",0,(M42*V42)/(T42+U42))</f>
        <v>#REF!</v>
      </c>
    </row>
    <row r="43" spans="1:23" x14ac:dyDescent="0.3">
      <c r="A43" s="11">
        <v>41</v>
      </c>
      <c r="B43" s="13" t="s">
        <v>62</v>
      </c>
      <c r="C43" s="26"/>
      <c r="D43" s="9">
        <f>IF(C43="",0,VLOOKUP(C43,Dropdown!$AB$1:$AC$7,2,FALSE))</f>
        <v>0</v>
      </c>
      <c r="E43">
        <v>2.6938694727206954E-2</v>
      </c>
      <c r="F43">
        <v>2.9577963936319774E-2</v>
      </c>
      <c r="G43">
        <v>6.151201515001254E-2</v>
      </c>
      <c r="H43">
        <v>0</v>
      </c>
      <c r="I43">
        <v>0</v>
      </c>
      <c r="J43">
        <v>0</v>
      </c>
      <c r="K43">
        <v>6.4585061063549096E-2</v>
      </c>
      <c r="L43">
        <f>SUM(D43:K43)</f>
        <v>0.18261373487708837</v>
      </c>
      <c r="M43">
        <f>L43+$N$2</f>
        <v>1.7826137348770885</v>
      </c>
      <c r="N43">
        <f>M43*50</f>
        <v>89.130686743854426</v>
      </c>
      <c r="O43" t="e">
        <f>VLOOKUP($B43,#REF!,21,FALSE)</f>
        <v>#REF!</v>
      </c>
      <c r="P43" t="e">
        <f>VLOOKUP($B43,#REF!,31,FALSE)</f>
        <v>#REF!</v>
      </c>
      <c r="Q43" t="e">
        <f>VLOOKUP($B43,#REF!,12,FALSE)</f>
        <v>#REF!</v>
      </c>
      <c r="R43" t="e">
        <f>(Q43*M43)/(O43+P43)</f>
        <v>#REF!</v>
      </c>
      <c r="S43" s="10">
        <v>20</v>
      </c>
      <c r="T43" t="e">
        <f>IF(O43=0,$X$2,O43)</f>
        <v>#REF!</v>
      </c>
      <c r="U43" t="e">
        <f>IF(P43=0,$Y$2,P43)</f>
        <v>#REF!</v>
      </c>
      <c r="V43" t="e">
        <f>IF(Q43=0,$Z$2,Q43)</f>
        <v>#REF!</v>
      </c>
      <c r="W43" s="14" t="e">
        <f>IF(C43="Not Applicable",0,(M43*V43)/(T43+U43))</f>
        <v>#REF!</v>
      </c>
    </row>
    <row r="44" spans="1:23" x14ac:dyDescent="0.3">
      <c r="A44" s="11">
        <v>42</v>
      </c>
      <c r="B44" s="13" t="s">
        <v>63</v>
      </c>
      <c r="C44" s="26"/>
      <c r="D44" s="9">
        <f>IF(C44="",0,VLOOKUP(C44,Dropdown!$AB$1:$AC$7,2,FALSE))</f>
        <v>0</v>
      </c>
      <c r="E44">
        <v>-1.1051894154291926E-2</v>
      </c>
      <c r="F44">
        <v>2.9577963936319774E-2</v>
      </c>
      <c r="G44">
        <v>6.151201515001254E-2</v>
      </c>
      <c r="H44">
        <v>0</v>
      </c>
      <c r="I44">
        <v>0</v>
      </c>
      <c r="J44">
        <v>0</v>
      </c>
      <c r="K44">
        <v>6.4585061063549096E-2</v>
      </c>
      <c r="L44">
        <f>SUM(D44:K44)</f>
        <v>0.14462314599558948</v>
      </c>
      <c r="M44">
        <f>L44+$N$2</f>
        <v>1.7446231459955897</v>
      </c>
      <c r="N44">
        <f>M44*50</f>
        <v>87.231157299779483</v>
      </c>
      <c r="O44" t="e">
        <f>VLOOKUP($B44,#REF!,21,FALSE)</f>
        <v>#REF!</v>
      </c>
      <c r="P44" t="e">
        <f>VLOOKUP($B44,#REF!,31,FALSE)</f>
        <v>#REF!</v>
      </c>
      <c r="Q44" t="e">
        <f>VLOOKUP($B44,#REF!,12,FALSE)</f>
        <v>#REF!</v>
      </c>
      <c r="R44" t="e">
        <f>(Q44*M44)/(O44+P44)</f>
        <v>#REF!</v>
      </c>
      <c r="S44" s="10">
        <v>19</v>
      </c>
      <c r="T44" t="e">
        <f>IF(O44=0,$X$2,O44)</f>
        <v>#REF!</v>
      </c>
      <c r="U44" t="e">
        <f>IF(P44=0,$Y$2,P44)</f>
        <v>#REF!</v>
      </c>
      <c r="V44" t="e">
        <f>IF(Q44=0,$Z$2,Q44)</f>
        <v>#REF!</v>
      </c>
      <c r="W44" s="14" t="e">
        <f>IF(C44="Not Applicable",0,(M44*V44)/(T44+U44))</f>
        <v>#REF!</v>
      </c>
    </row>
    <row r="45" spans="1:23" x14ac:dyDescent="0.3">
      <c r="A45" s="11">
        <v>43</v>
      </c>
      <c r="B45" s="13" t="s">
        <v>64</v>
      </c>
      <c r="C45" s="26"/>
      <c r="D45" s="9">
        <f>IF(C45="",0,VLOOKUP(C45,Dropdown!$AB$1:$AC$7,2,FALSE))</f>
        <v>0</v>
      </c>
      <c r="E45">
        <v>-1.1051894154291926E-2</v>
      </c>
      <c r="F45">
        <v>2.9577963936319774E-2</v>
      </c>
      <c r="G45">
        <v>6.151201515001254E-2</v>
      </c>
      <c r="H45">
        <v>0</v>
      </c>
      <c r="I45">
        <v>0</v>
      </c>
      <c r="J45">
        <v>0</v>
      </c>
      <c r="K45">
        <v>6.4585061063549096E-2</v>
      </c>
      <c r="L45">
        <f>SUM(D45:K45)</f>
        <v>0.14462314599558948</v>
      </c>
      <c r="M45">
        <f>L45+$N$2</f>
        <v>1.7446231459955897</v>
      </c>
      <c r="N45">
        <f>M45*50</f>
        <v>87.231157299779483</v>
      </c>
      <c r="O45" t="e">
        <f>VLOOKUP($B45,#REF!,21,FALSE)</f>
        <v>#REF!</v>
      </c>
      <c r="P45" t="e">
        <f>VLOOKUP($B45,#REF!,31,FALSE)</f>
        <v>#REF!</v>
      </c>
      <c r="Q45" t="e">
        <f>VLOOKUP($B45,#REF!,12,FALSE)</f>
        <v>#REF!</v>
      </c>
      <c r="R45" t="e">
        <f>(Q45*M45)/(O45+P45)</f>
        <v>#REF!</v>
      </c>
      <c r="S45" s="10">
        <v>40</v>
      </c>
      <c r="T45" t="e">
        <f>IF(O45=0,$X$2,O45)</f>
        <v>#REF!</v>
      </c>
      <c r="U45" t="e">
        <f>IF(P45=0,$Y$2,P45)</f>
        <v>#REF!</v>
      </c>
      <c r="V45" t="e">
        <f>IF(Q45=0,$Z$2,Q45)</f>
        <v>#REF!</v>
      </c>
      <c r="W45" s="14" t="e">
        <f>IF(C45="Not Applicable",0,(M45*V45)/(T45+U45))</f>
        <v>#REF!</v>
      </c>
    </row>
    <row r="46" spans="1:23" x14ac:dyDescent="0.3">
      <c r="A46" s="11">
        <v>44</v>
      </c>
      <c r="B46" s="13" t="s">
        <v>65</v>
      </c>
      <c r="C46" s="26"/>
      <c r="D46" s="9">
        <f>IF(C46="",0,VLOOKUP(C46,Dropdown!$AB$1:$AC$7,2,FALSE))</f>
        <v>0</v>
      </c>
      <c r="E46">
        <v>6.8037777476540232E-2</v>
      </c>
      <c r="F46">
        <v>4.2866310035643652E-2</v>
      </c>
      <c r="G46">
        <v>6.151201515001254E-2</v>
      </c>
      <c r="H46">
        <v>0</v>
      </c>
      <c r="I46">
        <v>0</v>
      </c>
      <c r="J46">
        <v>0</v>
      </c>
      <c r="K46">
        <v>6.4585061063549096E-2</v>
      </c>
      <c r="L46">
        <f>SUM(D46:K46)</f>
        <v>0.23700116372574553</v>
      </c>
      <c r="M46">
        <f>L46+$N$2</f>
        <v>1.8370011637257457</v>
      </c>
      <c r="N46">
        <f>M46*50</f>
        <v>91.850058186287285</v>
      </c>
      <c r="O46" t="e">
        <f>VLOOKUP($B46,#REF!,21,FALSE)</f>
        <v>#REF!</v>
      </c>
      <c r="P46" t="e">
        <f>VLOOKUP($B46,#REF!,31,FALSE)</f>
        <v>#REF!</v>
      </c>
      <c r="Q46" t="e">
        <f>VLOOKUP($B46,#REF!,12,FALSE)</f>
        <v>#REF!</v>
      </c>
      <c r="R46" t="e">
        <f>(Q46*M46)/(O46+P46)</f>
        <v>#REF!</v>
      </c>
      <c r="S46" s="10">
        <v>41</v>
      </c>
      <c r="T46" t="e">
        <f>IF(O46=0,$X$2,O46)</f>
        <v>#REF!</v>
      </c>
      <c r="U46" t="e">
        <f>IF(P46=0,$Y$2,P46)</f>
        <v>#REF!</v>
      </c>
      <c r="V46" t="e">
        <f>IF(Q46=0,$Z$2,Q46)</f>
        <v>#REF!</v>
      </c>
      <c r="W46" s="14" t="e">
        <f>IF(C46="Not Applicable",0,(M46*V46)/(T46+U46))</f>
        <v>#REF!</v>
      </c>
    </row>
    <row r="47" spans="1:23" x14ac:dyDescent="0.3">
      <c r="A47" s="11">
        <v>45</v>
      </c>
      <c r="B47" s="13" t="s">
        <v>70</v>
      </c>
      <c r="C47" s="26"/>
      <c r="D47" s="9">
        <f>IF(C47="",0,VLOOKUP(C47,Dropdown!$AB$1:$AC$7,2,FALSE))</f>
        <v>0</v>
      </c>
      <c r="E47">
        <v>0</v>
      </c>
      <c r="F47">
        <v>0</v>
      </c>
      <c r="G47">
        <v>1.0477798552085834E-2</v>
      </c>
      <c r="H47">
        <v>0</v>
      </c>
      <c r="I47">
        <v>2.2799862219178103E-2</v>
      </c>
      <c r="J47">
        <v>6.5810513489319766E-2</v>
      </c>
      <c r="K47">
        <v>6.4585061063549096E-2</v>
      </c>
      <c r="L47">
        <f>SUM(D47:K47)</f>
        <v>0.1636732353241328</v>
      </c>
      <c r="M47">
        <f>L47+$N$2</f>
        <v>1.7636732353241329</v>
      </c>
      <c r="N47">
        <f>M47*50</f>
        <v>88.18366176620664</v>
      </c>
      <c r="O47" t="e">
        <f>VLOOKUP($B47,#REF!,21,FALSE)</f>
        <v>#REF!</v>
      </c>
      <c r="P47" t="e">
        <f>VLOOKUP($B47,#REF!,31,FALSE)</f>
        <v>#REF!</v>
      </c>
      <c r="Q47" t="e">
        <f>VLOOKUP($B47,#REF!,12,FALSE)</f>
        <v>#REF!</v>
      </c>
      <c r="R47" t="e">
        <f>(Q47*M47)/(O47+P47)</f>
        <v>#REF!</v>
      </c>
      <c r="S47" s="10">
        <v>21</v>
      </c>
      <c r="T47" t="e">
        <f>IF(O47=0,$X$2,O47)</f>
        <v>#REF!</v>
      </c>
      <c r="U47" t="e">
        <f>IF(P47=0,$Y$2,P47)</f>
        <v>#REF!</v>
      </c>
      <c r="V47" t="e">
        <f>IF(Q47=0,$Z$2,Q47)</f>
        <v>#REF!</v>
      </c>
      <c r="W47" s="14" t="e">
        <f>IF(C47="Not Applicable",0,(M47*V47)/(T47+U47))</f>
        <v>#REF!</v>
      </c>
    </row>
    <row r="48" spans="1:23" x14ac:dyDescent="0.3">
      <c r="A48" s="11">
        <v>46</v>
      </c>
      <c r="B48" s="13" t="s">
        <v>71</v>
      </c>
      <c r="C48" s="26"/>
      <c r="D48" s="9">
        <f>IF(C48="",0,VLOOKUP(C48,Dropdown!$AB$1:$AC$7,2,FALSE))</f>
        <v>0</v>
      </c>
      <c r="E48">
        <v>0</v>
      </c>
      <c r="F48">
        <v>0</v>
      </c>
      <c r="G48">
        <v>5.0085608946499528E-2</v>
      </c>
      <c r="H48">
        <v>0</v>
      </c>
      <c r="I48">
        <v>2.2727272727272724E-2</v>
      </c>
      <c r="J48">
        <v>6.5810513489319766E-2</v>
      </c>
      <c r="K48">
        <v>6.4585061063549096E-2</v>
      </c>
      <c r="L48">
        <f>SUM(D48:K48)</f>
        <v>0.20320845622664113</v>
      </c>
      <c r="M48">
        <f>L48+$N$2</f>
        <v>1.8032084562266413</v>
      </c>
      <c r="N48">
        <f>M48*50</f>
        <v>90.160422811332069</v>
      </c>
      <c r="O48" t="e">
        <f>VLOOKUP($B48,#REF!,21,FALSE)</f>
        <v>#REF!</v>
      </c>
      <c r="P48" t="e">
        <f>VLOOKUP($B48,#REF!,31,FALSE)</f>
        <v>#REF!</v>
      </c>
      <c r="Q48" t="e">
        <f>VLOOKUP($B48,#REF!,12,FALSE)</f>
        <v>#REF!</v>
      </c>
      <c r="R48" t="e">
        <f>(Q48*M48)/(O48+P48)</f>
        <v>#REF!</v>
      </c>
      <c r="S48" s="10">
        <v>9</v>
      </c>
      <c r="T48" t="e">
        <f>IF(O48=0,$X$2,O48)</f>
        <v>#REF!</v>
      </c>
      <c r="U48" t="e">
        <f>IF(P48=0,$Y$2,P48)</f>
        <v>#REF!</v>
      </c>
      <c r="V48" t="e">
        <f>IF(Q48=0,$Z$2,Q48)</f>
        <v>#REF!</v>
      </c>
      <c r="W48" s="14" t="e">
        <f>IF(C48="Not Applicable",0,(M48*V48)/(T48+U48))</f>
        <v>#REF!</v>
      </c>
    </row>
    <row r="49" spans="1:23" x14ac:dyDescent="0.3">
      <c r="A49" s="11">
        <v>47</v>
      </c>
      <c r="B49" s="13" t="s">
        <v>72</v>
      </c>
      <c r="C49" s="26"/>
      <c r="D49" s="9">
        <f>IF(C49="",0,VLOOKUP(C49,Dropdown!$AB$1:$AC$7,2,FALSE))</f>
        <v>0</v>
      </c>
      <c r="E49">
        <v>-2.6738574355508023E-2</v>
      </c>
      <c r="F49">
        <v>5.1455789614920158E-2</v>
      </c>
      <c r="G49">
        <v>-2.4627703171760423E-2</v>
      </c>
      <c r="H49">
        <v>0</v>
      </c>
      <c r="I49">
        <v>0</v>
      </c>
      <c r="J49">
        <v>6.5810513489319766E-2</v>
      </c>
      <c r="K49">
        <v>6.4585061063549096E-2</v>
      </c>
      <c r="L49">
        <f>SUM(D49:K49)</f>
        <v>0.13048508664052055</v>
      </c>
      <c r="M49">
        <f>L49+$N$2</f>
        <v>1.7304850866405206</v>
      </c>
      <c r="N49">
        <f>M49*50</f>
        <v>86.524254332026032</v>
      </c>
      <c r="O49" t="e">
        <f>VLOOKUP($B49,#REF!,21,FALSE)</f>
        <v>#REF!</v>
      </c>
      <c r="P49" t="e">
        <f>VLOOKUP($B49,#REF!,31,FALSE)</f>
        <v>#REF!</v>
      </c>
      <c r="Q49" t="e">
        <f>VLOOKUP($B49,#REF!,12,FALSE)</f>
        <v>#REF!</v>
      </c>
      <c r="R49" t="e">
        <f>(Q49*M49)/(O49+P49)</f>
        <v>#REF!</v>
      </c>
      <c r="S49" s="10">
        <v>14</v>
      </c>
      <c r="T49" t="e">
        <f>IF(O49=0,$X$2,O49)</f>
        <v>#REF!</v>
      </c>
      <c r="U49" t="e">
        <f>IF(P49=0,$Y$2,P49)</f>
        <v>#REF!</v>
      </c>
      <c r="V49" t="e">
        <f>IF(Q49=0,$Z$2,Q49)</f>
        <v>#REF!</v>
      </c>
      <c r="W49" s="14" t="e">
        <f>IF(C49="Not Applicable",0,(M49*V49)/(T49+U49))</f>
        <v>#REF!</v>
      </c>
    </row>
    <row r="50" spans="1:23" x14ac:dyDescent="0.3">
      <c r="A50" s="11">
        <v>48</v>
      </c>
      <c r="B50" s="13" t="s">
        <v>73</v>
      </c>
      <c r="C50" s="26"/>
      <c r="D50" s="9">
        <f>IF(C50="",0,VLOOKUP(C50,Dropdown!$AB$1:$AC$7,2,FALSE))</f>
        <v>0</v>
      </c>
      <c r="E50">
        <v>1.8328564179492818E-2</v>
      </c>
      <c r="F50">
        <v>-2.17001907606508E-2</v>
      </c>
      <c r="G50">
        <v>-2.1967736948646299E-2</v>
      </c>
      <c r="H50">
        <v>-1.2037130406447697E-2</v>
      </c>
      <c r="I50">
        <v>2.2790713954444822E-2</v>
      </c>
      <c r="J50">
        <v>0</v>
      </c>
      <c r="K50">
        <v>0</v>
      </c>
      <c r="L50">
        <f>SUM(D50:K50)</f>
        <v>-1.4585779981807153E-2</v>
      </c>
      <c r="M50">
        <f>L50+$N$2</f>
        <v>1.5854142200181929</v>
      </c>
      <c r="N50">
        <f>M50*50</f>
        <v>79.270711000909643</v>
      </c>
      <c r="O50" t="e">
        <f>VLOOKUP($B50,#REF!,21,FALSE)</f>
        <v>#REF!</v>
      </c>
      <c r="P50" t="e">
        <f>VLOOKUP($B50,#REF!,31,FALSE)</f>
        <v>#REF!</v>
      </c>
      <c r="Q50" t="e">
        <f>VLOOKUP($B50,#REF!,12,FALSE)</f>
        <v>#REF!</v>
      </c>
      <c r="R50" t="e">
        <f>(Q50*M50)/(O50+P50)</f>
        <v>#REF!</v>
      </c>
      <c r="S50" s="10">
        <v>33</v>
      </c>
      <c r="T50" t="e">
        <f>IF(O50=0,$X$2,O50)</f>
        <v>#REF!</v>
      </c>
      <c r="U50" t="e">
        <f>IF(P50=0,$Y$2,P50)</f>
        <v>#REF!</v>
      </c>
      <c r="V50" t="e">
        <f>IF(Q50=0,$Z$2,Q50)</f>
        <v>#REF!</v>
      </c>
      <c r="W50" s="14" t="e">
        <f>IF(C50="Not Applicable",0,(M50*V50)/(T50+U50))</f>
        <v>#REF!</v>
      </c>
    </row>
    <row r="51" spans="1:23" x14ac:dyDescent="0.3">
      <c r="A51" s="11">
        <v>49</v>
      </c>
      <c r="B51" s="13" t="s">
        <v>74</v>
      </c>
      <c r="C51" s="26"/>
      <c r="D51" s="9">
        <f>IF(C51="",0,VLOOKUP(C51,Dropdown!$AB$1:$AC$7,2,FALSE))</f>
        <v>0</v>
      </c>
      <c r="E51">
        <v>0</v>
      </c>
      <c r="F51">
        <v>0</v>
      </c>
      <c r="G51">
        <v>0</v>
      </c>
      <c r="H51">
        <v>0</v>
      </c>
      <c r="I51">
        <v>0</v>
      </c>
      <c r="K51">
        <v>6.4585061063549096E-2</v>
      </c>
      <c r="L51">
        <f>SUM(D51:K51)</f>
        <v>6.4585061063549096E-2</v>
      </c>
      <c r="M51">
        <f>L51+$N$2</f>
        <v>1.6645850610635491</v>
      </c>
      <c r="N51">
        <f>M51*50</f>
        <v>83.229253053177459</v>
      </c>
      <c r="O51" t="e">
        <f>VLOOKUP($B51,#REF!,21,FALSE)</f>
        <v>#REF!</v>
      </c>
      <c r="P51" t="e">
        <f>VLOOKUP($B51,#REF!,31,FALSE)</f>
        <v>#REF!</v>
      </c>
      <c r="Q51" t="e">
        <f>VLOOKUP($B51,#REF!,12,FALSE)</f>
        <v>#REF!</v>
      </c>
      <c r="R51" t="e">
        <f>(Q51*M51)/(O51+P51)</f>
        <v>#REF!</v>
      </c>
      <c r="S51" s="10">
        <v>31</v>
      </c>
      <c r="T51" t="e">
        <f>IF(O51=0,$X$2,O51)</f>
        <v>#REF!</v>
      </c>
      <c r="U51" t="e">
        <f>IF(P51=0,$Y$2,P51)</f>
        <v>#REF!</v>
      </c>
      <c r="V51" t="e">
        <f>IF(Q51=0,$Z$2,Q51)</f>
        <v>#REF!</v>
      </c>
      <c r="W51" s="14" t="e">
        <f>IF(C51="Not Applicable",0,(M51*V51)/(T51+U51))</f>
        <v>#REF!</v>
      </c>
    </row>
    <row r="52" spans="1:23" x14ac:dyDescent="0.3">
      <c r="A52" s="29">
        <v>50</v>
      </c>
      <c r="B52" s="30" t="s">
        <v>75</v>
      </c>
      <c r="C52" s="26"/>
      <c r="D52" s="9">
        <f>IF(C52="",0,VLOOKUP(C52,Dropdown!$AB$1:$AC$7,2,FALSE))</f>
        <v>0</v>
      </c>
      <c r="E52">
        <v>0</v>
      </c>
      <c r="F52">
        <v>0</v>
      </c>
      <c r="G52">
        <v>0</v>
      </c>
      <c r="H52">
        <v>0</v>
      </c>
      <c r="I52">
        <v>0</v>
      </c>
      <c r="K52">
        <v>0</v>
      </c>
      <c r="L52">
        <f>SUM(D52:K52)</f>
        <v>0</v>
      </c>
      <c r="M52">
        <f>L52+$N$2</f>
        <v>1.6</v>
      </c>
      <c r="N52">
        <f>M52*50</f>
        <v>80</v>
      </c>
      <c r="O52" t="e">
        <f>VLOOKUP($B52,#REF!,21,FALSE)</f>
        <v>#REF!</v>
      </c>
      <c r="P52" t="e">
        <f>VLOOKUP($B52,#REF!,31,FALSE)</f>
        <v>#REF!</v>
      </c>
      <c r="Q52" t="e">
        <f>VLOOKUP($B52,#REF!,12,FALSE)</f>
        <v>#REF!</v>
      </c>
      <c r="R52" t="e">
        <f>(Q52*M52)/(O52+P52)</f>
        <v>#REF!</v>
      </c>
      <c r="S52">
        <v>13</v>
      </c>
      <c r="T52" t="e">
        <f>IF(O52=0,$X$2,O52)</f>
        <v>#REF!</v>
      </c>
      <c r="U52" t="e">
        <f>IF(P52=0,$Y$2,P52)</f>
        <v>#REF!</v>
      </c>
      <c r="V52" t="e">
        <f>IF(Q52=0,$Z$2,Q52)</f>
        <v>#REF!</v>
      </c>
      <c r="W52" s="14" t="e">
        <f>IF(C52="Not Applicable",0,(M52*V52)/(T52+U52))</f>
        <v>#REF!</v>
      </c>
    </row>
    <row r="53" spans="1:23" x14ac:dyDescent="0.3">
      <c r="A53" s="11">
        <v>51</v>
      </c>
      <c r="B53" s="13" t="s">
        <v>68</v>
      </c>
      <c r="C53" s="26"/>
      <c r="D53" s="9">
        <f>IF(C53="",0,VLOOKUP(C53,Dropdown!$AB$1:$AC$7,2,FALSE))</f>
        <v>0</v>
      </c>
      <c r="E53">
        <v>-3.3829327094369352E-2</v>
      </c>
      <c r="F53">
        <v>0</v>
      </c>
      <c r="G53">
        <v>0</v>
      </c>
      <c r="H53">
        <v>-1.1297922467337757E-2</v>
      </c>
      <c r="I53">
        <v>6.1519428660373214E-3</v>
      </c>
      <c r="K53">
        <v>6.4585061063549096E-2</v>
      </c>
      <c r="L53">
        <f>SUM(D53:K53)</f>
        <v>2.5609754367879309E-2</v>
      </c>
      <c r="M53">
        <f>L53+$N$2</f>
        <v>1.6256097543678794</v>
      </c>
      <c r="N53">
        <f>M53*50</f>
        <v>81.280487718393971</v>
      </c>
      <c r="O53" t="e">
        <f>VLOOKUP($B53,#REF!,21,FALSE)</f>
        <v>#REF!</v>
      </c>
      <c r="P53" t="e">
        <f>VLOOKUP($B53,#REF!,31,FALSE)</f>
        <v>#REF!</v>
      </c>
      <c r="Q53" t="e">
        <f>VLOOKUP($B53,#REF!,12,FALSE)</f>
        <v>#REF!</v>
      </c>
      <c r="R53" t="e">
        <f>(Q53*M53)/(O53+P53)</f>
        <v>#REF!</v>
      </c>
      <c r="S53" s="43"/>
      <c r="T53" t="e">
        <f>IF(O53=0,$X$2,O53)</f>
        <v>#REF!</v>
      </c>
      <c r="U53" t="e">
        <f>IF(P53=0,$Y$2,P53)</f>
        <v>#REF!</v>
      </c>
      <c r="V53" t="e">
        <f>IF(Q53=0,$Z$2,Q53)</f>
        <v>#REF!</v>
      </c>
      <c r="W53" s="14" t="e">
        <f>IF(C53="Not Applicable",0,(M53*V53)/(T53+U53))</f>
        <v>#REF!</v>
      </c>
    </row>
    <row r="54" spans="1:23" x14ac:dyDescent="0.3">
      <c r="A54" s="11">
        <v>52</v>
      </c>
      <c r="B54" s="13" t="s">
        <v>66</v>
      </c>
      <c r="C54" s="26"/>
      <c r="D54" s="9">
        <f>IF(C54="",0,VLOOKUP(C54,Dropdown!$AB$1:$AC$7,2,FALSE))</f>
        <v>0</v>
      </c>
      <c r="E54">
        <v>-3.3829327094369352E-2</v>
      </c>
      <c r="F54">
        <v>0</v>
      </c>
      <c r="G54">
        <v>0</v>
      </c>
      <c r="H54">
        <v>-1.1297922467337757E-2</v>
      </c>
      <c r="I54">
        <v>6.1519428660373214E-3</v>
      </c>
      <c r="K54">
        <v>6.4585061063549096E-2</v>
      </c>
      <c r="L54">
        <f>SUM(D54:K54)</f>
        <v>2.5609754367879309E-2</v>
      </c>
      <c r="M54">
        <f>L54+$N$2</f>
        <v>1.6256097543678794</v>
      </c>
      <c r="N54">
        <f>M54*50</f>
        <v>81.280487718393971</v>
      </c>
      <c r="O54" t="e">
        <f>VLOOKUP($B54,#REF!,21,FALSE)</f>
        <v>#REF!</v>
      </c>
      <c r="P54" t="e">
        <f>VLOOKUP($B54,#REF!,31,FALSE)</f>
        <v>#REF!</v>
      </c>
      <c r="Q54" t="e">
        <f>VLOOKUP($B54,#REF!,12,FALSE)</f>
        <v>#REF!</v>
      </c>
      <c r="R54" t="e">
        <f>(Q54*M54)/(O54+P54)</f>
        <v>#REF!</v>
      </c>
      <c r="S54" s="43"/>
      <c r="T54" t="e">
        <f>IF(O54=0,$X$2,O54)</f>
        <v>#REF!</v>
      </c>
      <c r="U54" t="e">
        <f>IF(P54=0,$Y$2,P54)</f>
        <v>#REF!</v>
      </c>
      <c r="V54" t="e">
        <f>IF(Q54=0,$Z$2,Q54)</f>
        <v>#REF!</v>
      </c>
      <c r="W54" s="14" t="e">
        <f>IF(C54="Not Applicable",0,(M54*V54)/(T54+U54))</f>
        <v>#REF!</v>
      </c>
    </row>
    <row r="55" spans="1:23" x14ac:dyDescent="0.3">
      <c r="A55" s="11">
        <v>53</v>
      </c>
      <c r="B55" s="13" t="s">
        <v>67</v>
      </c>
      <c r="C55" s="26"/>
      <c r="D55" s="9">
        <f>IF(C55="",0,VLOOKUP(C55,Dropdown!$AB$1:$AC$7,2,FALSE))</f>
        <v>0</v>
      </c>
      <c r="E55">
        <v>-3.3829327094369352E-2</v>
      </c>
      <c r="F55">
        <v>0</v>
      </c>
      <c r="G55">
        <v>0</v>
      </c>
      <c r="H55">
        <v>-1.1297922467337757E-2</v>
      </c>
      <c r="I55">
        <v>6.1519428660373214E-3</v>
      </c>
      <c r="K55">
        <v>6.4585061063549096E-2</v>
      </c>
      <c r="L55">
        <f>SUM(D55:K55)</f>
        <v>2.5609754367879309E-2</v>
      </c>
      <c r="M55">
        <f>L55+$N$2</f>
        <v>1.6256097543678794</v>
      </c>
      <c r="N55">
        <f>M55*50</f>
        <v>81.280487718393971</v>
      </c>
      <c r="O55" t="e">
        <f>VLOOKUP($B55,#REF!,21,FALSE)</f>
        <v>#REF!</v>
      </c>
      <c r="P55" t="e">
        <f>VLOOKUP($B55,#REF!,31,FALSE)</f>
        <v>#REF!</v>
      </c>
      <c r="Q55" t="e">
        <f>VLOOKUP($B55,#REF!,12,FALSE)</f>
        <v>#REF!</v>
      </c>
      <c r="R55" t="e">
        <f>(Q55*M55)/(O55+P55)</f>
        <v>#REF!</v>
      </c>
      <c r="S55" s="43"/>
      <c r="T55" t="e">
        <f>IF(O55=0,$X$2,O55)</f>
        <v>#REF!</v>
      </c>
      <c r="U55" t="e">
        <f>IF(P55=0,$Y$2,P55)</f>
        <v>#REF!</v>
      </c>
      <c r="V55" t="e">
        <f>IF(Q55=0,$Z$2,Q55)</f>
        <v>#REF!</v>
      </c>
      <c r="W55" s="14" t="e">
        <f>IF(C55="Not Applicable",0,(M55*V55)/(T55+U55))</f>
        <v>#REF!</v>
      </c>
    </row>
    <row r="56" spans="1:23" x14ac:dyDescent="0.3">
      <c r="A56" s="11">
        <v>54</v>
      </c>
      <c r="B56" s="13" t="s">
        <v>69</v>
      </c>
      <c r="C56" s="26"/>
      <c r="D56" s="9">
        <f>IF(C56="",0,VLOOKUP(C56,Dropdown!$AB$1:$AC$7,2,FALSE))</f>
        <v>0</v>
      </c>
      <c r="E56">
        <v>0</v>
      </c>
      <c r="F56">
        <v>0</v>
      </c>
      <c r="G56">
        <v>0</v>
      </c>
      <c r="H56">
        <v>0</v>
      </c>
      <c r="I56">
        <v>0</v>
      </c>
      <c r="K56">
        <v>0</v>
      </c>
      <c r="L56">
        <f>SUM(D56:K56)</f>
        <v>0</v>
      </c>
      <c r="M56">
        <f>L56+$N$2</f>
        <v>1.6</v>
      </c>
      <c r="N56">
        <f>M56*50</f>
        <v>80</v>
      </c>
      <c r="O56" t="e">
        <f>VLOOKUP($B56,#REF!,21,FALSE)</f>
        <v>#REF!</v>
      </c>
      <c r="P56" t="e">
        <f>VLOOKUP($B56,#REF!,31,FALSE)</f>
        <v>#REF!</v>
      </c>
      <c r="Q56" t="e">
        <f>VLOOKUP($B56,#REF!,12,FALSE)</f>
        <v>#REF!</v>
      </c>
      <c r="R56" t="e">
        <f>(Q56*M56)/(O56+P56)</f>
        <v>#REF!</v>
      </c>
      <c r="S56" s="43"/>
      <c r="T56" t="e">
        <f>IF(O56=0,$X$2,O56)</f>
        <v>#REF!</v>
      </c>
      <c r="U56" t="e">
        <f>IF(P56=0,$Y$2,P56)</f>
        <v>#REF!</v>
      </c>
      <c r="V56" t="e">
        <f>IF(Q56=0,$Z$2,Q56)</f>
        <v>#REF!</v>
      </c>
      <c r="W56" s="14" t="e">
        <f>IF(C56="Not Applicable",0,(M56*V56)/(T56+U56))</f>
        <v>#REF!</v>
      </c>
    </row>
  </sheetData>
  <sheetProtection selectLockedCells="1"/>
  <autoFilter ref="A2:W56" xr:uid="{00000000-0009-0000-0000-000000000000}">
    <sortState xmlns:xlrd2="http://schemas.microsoft.com/office/spreadsheetml/2017/richdata2" ref="A3:W56">
      <sortCondition ref="A2:A56"/>
    </sortState>
  </autoFilter>
  <mergeCells count="1">
    <mergeCell ref="A1:W1"/>
  </mergeCells>
  <conditionalFormatting sqref="O3:O5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K5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49 S52 S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S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" operator="equal" id="{C0E3B831-5527-4767-B4FE-0669577547AB}">
            <xm:f>Dropdown!$AB$3</xm:f>
            <x14:dxf>
              <fill>
                <patternFill>
                  <bgColor rgb="FF92D050"/>
                </patternFill>
              </fill>
            </x14:dxf>
          </x14:cfRule>
          <x14:cfRule type="cellIs" priority="9" operator="equal" id="{452D35CC-72C2-44F8-B49B-723E9DCAD88B}">
            <xm:f>Dropdown!$AB$4</xm:f>
            <x14:dxf>
              <fill>
                <patternFill>
                  <bgColor rgb="FFFF0000"/>
                </patternFill>
              </fill>
            </x14:dxf>
          </x14:cfRule>
          <x14:cfRule type="cellIs" priority="10" operator="equal" id="{0E9401C7-1F2D-4678-995D-FCEAA17D2954}">
            <xm:f>Dropdown!$AB$2</xm:f>
            <x14:dxf>
              <fill>
                <patternFill patternType="lightUp">
                  <bgColor theme="0" tint="-0.499984740745262"/>
                </patternFill>
              </fill>
            </x14:dxf>
          </x14:cfRule>
          <xm:sqref>C2:C1048576</xm:sqref>
        </x14:conditionalFormatting>
        <x14:conditionalFormatting xmlns:xm="http://schemas.microsoft.com/office/excel/2006/main">
          <x14:cfRule type="cellIs" priority="5" operator="equal" id="{D3C13795-7D43-4BB7-B41F-E19F0FF185D3}">
            <xm:f>Dropdown!$AB$3</xm:f>
            <x14:dxf>
              <fill>
                <patternFill>
                  <bgColor rgb="FF92D050"/>
                </patternFill>
              </fill>
            </x14:dxf>
          </x14:cfRule>
          <x14:cfRule type="cellIs" priority="6" operator="equal" id="{C242DCF2-0239-4F08-A7DF-F064BD64DCC2}">
            <xm:f>Dropdown!$AB$4</xm:f>
            <x14:dxf>
              <fill>
                <patternFill>
                  <bgColor rgb="FFFF0000"/>
                </patternFill>
              </fill>
            </x14:dxf>
          </x14:cfRule>
          <x14:cfRule type="cellIs" priority="7" operator="equal" id="{2EF0EABC-455D-49EA-B41A-EB8518702CB0}">
            <xm:f>Dropdown!$AB$2</xm:f>
            <x14:dxf>
              <fill>
                <patternFill patternType="lightUp">
                  <bgColor theme="0" tint="-0.499984740745262"/>
                </patternFill>
              </fill>
            </x14:dxf>
          </x14:cfRule>
          <xm:sqref>W2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Dropdown!$AB$2:$AB$7</xm:f>
          </x14:formula1>
          <xm:sqref>C3:C56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BE56"/>
  <sheetViews>
    <sheetView zoomScale="130" zoomScaleNormal="130" workbookViewId="0">
      <pane xSplit="2" ySplit="2" topLeftCell="AJ3" activePane="bottomRight" state="frozen"/>
      <selection pane="topRight" activeCell="Q29" sqref="Q29"/>
      <selection pane="bottomLeft" activeCell="Q29" sqref="Q29"/>
      <selection pane="bottomRight" activeCell="W10" sqref="W10:AN16"/>
    </sheetView>
  </sheetViews>
  <sheetFormatPr defaultRowHeight="14.4" x14ac:dyDescent="0.3"/>
  <cols>
    <col min="1" max="1" width="60.33203125" style="33" customWidth="1"/>
    <col min="2" max="2" width="25.5546875" bestFit="1" customWidth="1"/>
    <col min="3" max="3" width="25.5546875" customWidth="1"/>
    <col min="4" max="4" width="25.5546875" style="33" customWidth="1"/>
    <col min="5" max="5" width="29.33203125" customWidth="1"/>
    <col min="6" max="6" width="6.88671875" customWidth="1"/>
    <col min="7" max="7" width="21.6640625" bestFit="1" customWidth="1"/>
    <col min="8" max="8" width="3.44140625" customWidth="1"/>
    <col min="9" max="9" width="16.33203125" bestFit="1" customWidth="1"/>
    <col min="10" max="10" width="2.109375" bestFit="1" customWidth="1"/>
    <col min="11" max="11" width="31.44140625" bestFit="1" customWidth="1"/>
    <col min="12" max="12" width="2.109375" bestFit="1" customWidth="1"/>
    <col min="13" max="13" width="21.6640625" bestFit="1" customWidth="1"/>
    <col min="14" max="14" width="2.109375" bestFit="1" customWidth="1"/>
    <col min="15" max="15" width="30.109375" bestFit="1" customWidth="1"/>
    <col min="16" max="16" width="2.109375" bestFit="1" customWidth="1"/>
    <col min="17" max="17" width="17.88671875" bestFit="1" customWidth="1"/>
    <col min="18" max="18" width="2.109375" bestFit="1" customWidth="1"/>
    <col min="19" max="19" width="25.88671875" bestFit="1" customWidth="1"/>
    <col min="20" max="20" width="2.109375" bestFit="1" customWidth="1"/>
    <col min="21" max="21" width="18.33203125" bestFit="1" customWidth="1"/>
    <col min="22" max="22" width="2.109375" bestFit="1" customWidth="1"/>
    <col min="23" max="23" width="13.33203125" bestFit="1" customWidth="1"/>
    <col min="24" max="24" width="2.109375" bestFit="1" customWidth="1"/>
    <col min="25" max="25" width="37.109375" customWidth="1"/>
    <col min="26" max="26" width="2.109375" customWidth="1"/>
    <col min="27" max="27" width="33.44140625" customWidth="1"/>
    <col min="28" max="28" width="2.109375" customWidth="1"/>
    <col min="29" max="29" width="21.88671875" customWidth="1"/>
    <col min="30" max="30" width="2.109375" customWidth="1"/>
    <col min="31" max="31" width="23.88671875" customWidth="1"/>
    <col min="32" max="32" width="2.109375" customWidth="1"/>
    <col min="33" max="33" width="21.33203125" customWidth="1"/>
    <col min="34" max="34" width="2.109375" customWidth="1"/>
    <col min="35" max="35" width="33.5546875" customWidth="1"/>
    <col min="36" max="36" width="2.109375" customWidth="1"/>
    <col min="37" max="37" width="31.44140625" customWidth="1"/>
    <col min="38" max="38" width="2.109375" customWidth="1"/>
    <col min="39" max="39" width="33.6640625" customWidth="1"/>
    <col min="40" max="40" width="2.109375" customWidth="1"/>
    <col min="41" max="41" width="19.109375" customWidth="1"/>
    <col min="42" max="42" width="27.5546875" customWidth="1"/>
    <col min="43" max="43" width="2.109375" customWidth="1"/>
    <col min="44" max="44" width="35.109375" customWidth="1"/>
    <col min="45" max="45" width="2.109375" customWidth="1"/>
    <col min="46" max="46" width="21.33203125" customWidth="1"/>
    <col min="47" max="47" width="2.109375" customWidth="1"/>
    <col min="48" max="48" width="21.33203125" customWidth="1"/>
    <col min="49" max="49" width="2.109375" customWidth="1"/>
    <col min="50" max="50" width="21.33203125" customWidth="1"/>
    <col min="51" max="51" width="2.109375" customWidth="1"/>
    <col min="52" max="52" width="22.44140625" customWidth="1"/>
    <col min="53" max="53" width="2.109375" customWidth="1"/>
    <col min="54" max="54" width="32.33203125" customWidth="1"/>
    <col min="55" max="55" width="2.109375" customWidth="1"/>
    <col min="56" max="56" width="30.88671875" customWidth="1"/>
    <col min="57" max="57" width="2.109375" customWidth="1"/>
  </cols>
  <sheetData>
    <row r="1" spans="1:57" ht="15.6" customHeight="1" x14ac:dyDescent="0.3">
      <c r="A1" s="31"/>
      <c r="B1" s="10"/>
      <c r="C1" s="10"/>
      <c r="D1" s="40"/>
      <c r="E1" s="11" t="s">
        <v>80</v>
      </c>
      <c r="F1" s="11"/>
      <c r="G1" s="11" t="s">
        <v>80</v>
      </c>
      <c r="H1" s="11"/>
      <c r="I1" s="11" t="s">
        <v>80</v>
      </c>
      <c r="J1" s="11"/>
      <c r="K1" s="11" t="s">
        <v>80</v>
      </c>
      <c r="L1" s="11"/>
      <c r="M1" s="11" t="s">
        <v>80</v>
      </c>
      <c r="N1" s="11"/>
      <c r="O1" s="11" t="s">
        <v>80</v>
      </c>
      <c r="P1" s="11"/>
      <c r="Q1" s="11" t="s">
        <v>80</v>
      </c>
      <c r="R1" s="11"/>
      <c r="S1" s="11" t="s">
        <v>80</v>
      </c>
      <c r="T1" s="11"/>
      <c r="U1" s="11" t="s">
        <v>80</v>
      </c>
      <c r="V1" s="11"/>
      <c r="W1" s="11" t="s">
        <v>80</v>
      </c>
      <c r="X1" s="11"/>
      <c r="Y1" s="12" t="s">
        <v>81</v>
      </c>
      <c r="Z1" s="12"/>
      <c r="AA1" s="12" t="s">
        <v>81</v>
      </c>
      <c r="AB1" s="12"/>
      <c r="AC1" s="12" t="s">
        <v>81</v>
      </c>
      <c r="AD1" s="12"/>
      <c r="AE1" s="12" t="s">
        <v>81</v>
      </c>
      <c r="AF1" s="12"/>
      <c r="AG1" s="12" t="s">
        <v>81</v>
      </c>
      <c r="AH1" s="12"/>
      <c r="AI1" s="12" t="s">
        <v>81</v>
      </c>
      <c r="AJ1" s="12"/>
      <c r="AK1" s="12" t="s">
        <v>81</v>
      </c>
      <c r="AL1" s="12"/>
      <c r="AM1" s="12" t="s">
        <v>81</v>
      </c>
      <c r="AN1" s="12"/>
      <c r="AO1" s="15"/>
      <c r="AP1" s="15" t="s">
        <v>81</v>
      </c>
      <c r="AQ1" s="15"/>
      <c r="AR1" s="15" t="s">
        <v>81</v>
      </c>
      <c r="AS1" s="15"/>
      <c r="AT1" s="15" t="s">
        <v>81</v>
      </c>
      <c r="AU1" s="15"/>
      <c r="AV1" s="15" t="s">
        <v>81</v>
      </c>
      <c r="AW1" s="15"/>
      <c r="AX1" s="15" t="s">
        <v>81</v>
      </c>
      <c r="AY1" s="15"/>
      <c r="AZ1" s="15" t="s">
        <v>81</v>
      </c>
      <c r="BA1" s="15"/>
      <c r="BB1" s="15" t="s">
        <v>81</v>
      </c>
      <c r="BC1" s="15"/>
      <c r="BD1" s="15" t="s">
        <v>81</v>
      </c>
      <c r="BE1" s="15"/>
    </row>
    <row r="2" spans="1:57" s="1" customFormat="1" ht="57.6" x14ac:dyDescent="0.3">
      <c r="A2" s="21" t="s">
        <v>82</v>
      </c>
      <c r="B2" s="22" t="s">
        <v>83</v>
      </c>
      <c r="C2" s="22" t="s">
        <v>84</v>
      </c>
      <c r="D2" s="22" t="s">
        <v>4</v>
      </c>
      <c r="E2" s="16" t="s">
        <v>85</v>
      </c>
      <c r="F2" s="16"/>
      <c r="G2" s="16" t="s">
        <v>86</v>
      </c>
      <c r="H2" s="16"/>
      <c r="I2" s="16" t="s">
        <v>87</v>
      </c>
      <c r="J2" s="16"/>
      <c r="K2" s="16" t="s">
        <v>88</v>
      </c>
      <c r="L2" s="16"/>
      <c r="M2" s="16" t="s">
        <v>89</v>
      </c>
      <c r="N2" s="16"/>
      <c r="O2" s="16" t="s">
        <v>90</v>
      </c>
      <c r="P2" s="16"/>
      <c r="Q2" s="16" t="s">
        <v>91</v>
      </c>
      <c r="R2" s="16"/>
      <c r="S2" s="16" t="s">
        <v>92</v>
      </c>
      <c r="T2" s="16"/>
      <c r="U2" s="16" t="s">
        <v>93</v>
      </c>
      <c r="V2" s="16"/>
      <c r="W2" s="16" t="s">
        <v>94</v>
      </c>
      <c r="X2" s="17"/>
      <c r="Y2" s="18" t="s">
        <v>95</v>
      </c>
      <c r="Z2" s="18"/>
      <c r="AA2" s="18" t="s">
        <v>96</v>
      </c>
      <c r="AB2" s="18"/>
      <c r="AC2" s="18" t="s">
        <v>97</v>
      </c>
      <c r="AD2" s="18"/>
      <c r="AE2" s="18" t="s">
        <v>98</v>
      </c>
      <c r="AF2" s="18"/>
      <c r="AG2" s="18" t="s">
        <v>99</v>
      </c>
      <c r="AH2" s="18"/>
      <c r="AI2" s="18" t="s">
        <v>100</v>
      </c>
      <c r="AJ2" s="18"/>
      <c r="AK2" s="18" t="s">
        <v>101</v>
      </c>
      <c r="AL2" s="18"/>
      <c r="AM2" s="18" t="s">
        <v>102</v>
      </c>
      <c r="AN2" s="18"/>
      <c r="AO2" s="19" t="s">
        <v>103</v>
      </c>
      <c r="AP2" s="19" t="s">
        <v>104</v>
      </c>
      <c r="AQ2" s="19"/>
      <c r="AR2" s="19" t="s">
        <v>96</v>
      </c>
      <c r="AS2" s="19"/>
      <c r="AT2" s="19" t="s">
        <v>97</v>
      </c>
      <c r="AU2" s="19"/>
      <c r="AV2" s="19" t="s">
        <v>98</v>
      </c>
      <c r="AW2" s="19"/>
      <c r="AX2" s="19" t="s">
        <v>99</v>
      </c>
      <c r="AY2" s="19"/>
      <c r="AZ2" s="19" t="s">
        <v>100</v>
      </c>
      <c r="BA2" s="19"/>
      <c r="BB2" s="19" t="s">
        <v>101</v>
      </c>
      <c r="BC2" s="19"/>
      <c r="BD2" s="19" t="s">
        <v>102</v>
      </c>
      <c r="BE2" s="19"/>
    </row>
    <row r="3" spans="1:57" ht="14.4" customHeight="1" x14ac:dyDescent="0.3">
      <c r="A3" s="32" t="s">
        <v>26</v>
      </c>
      <c r="B3" s="10">
        <f>VLOOKUP(A3,Vulnerabilty!$B$3:$C$56,2,FALSE)</f>
        <v>0</v>
      </c>
      <c r="C3" s="10"/>
      <c r="D3" s="10"/>
      <c r="E3" s="20" t="s">
        <v>113</v>
      </c>
      <c r="F3" s="10">
        <f>IF(E3=0,0,VLOOKUP(E3,Dropdown!$A$1:$B$7,2,FALSE))</f>
        <v>0</v>
      </c>
      <c r="G3" s="20" t="s">
        <v>114</v>
      </c>
      <c r="H3" s="10">
        <f>IF(G3=0,0,VLOOKUP(G3,Dropdown!$C$2:$D$7,2,FALSE))</f>
        <v>0</v>
      </c>
      <c r="I3" s="20" t="s">
        <v>107</v>
      </c>
      <c r="J3" s="10" t="e">
        <f>IF('Hazard information'!I3=0,0,VLOOKUP(I3,Dropdown!$K$2:$L$7,2,FALSE))</f>
        <v>#N/A</v>
      </c>
      <c r="K3" s="20" t="s">
        <v>107</v>
      </c>
      <c r="L3" s="10" t="e">
        <f>IF(K3=0,0,VLOOKUP(K3,Dropdown!$E$2:$F$7,2,FALSE))</f>
        <v>#N/A</v>
      </c>
      <c r="M3" s="20" t="s">
        <v>108</v>
      </c>
      <c r="N3" s="10">
        <f>IF(M3=0,0,VLOOKUP(M3,Dropdown!$G$2:$H$7,2,FALSE))</f>
        <v>0</v>
      </c>
      <c r="O3" s="20" t="s">
        <v>109</v>
      </c>
      <c r="P3" s="10">
        <f>IF('Hazard information'!O3=0,0,VLOOKUP(O3,Dropdown!$I$1:$J$7,2,FALSE))</f>
        <v>0</v>
      </c>
      <c r="Q3" s="20" t="s">
        <v>110</v>
      </c>
      <c r="R3" s="10">
        <f>IF(Q3=0,0,VLOOKUP(Q3,Dropdown!$M$2:$N$7,2,FALSE))</f>
        <v>0</v>
      </c>
      <c r="S3" s="20" t="s">
        <v>111</v>
      </c>
      <c r="T3" s="10">
        <f>IF(S3=0,0,VLOOKUP(S3,Dropdown!$O$2:$P$7,2,FALSE))</f>
        <v>0</v>
      </c>
      <c r="U3" s="20" t="s">
        <v>108</v>
      </c>
      <c r="V3" s="10">
        <f>IF(U3=0,0,VLOOKUP(U3,Dropdown!$Q$2:$R$7,2,FALSE))</f>
        <v>0</v>
      </c>
      <c r="W3" s="20" t="s">
        <v>112</v>
      </c>
      <c r="X3" s="10">
        <f>IF(W3=0,0,VLOOKUP(W3,Dropdown!$S$2:$T$7,2,FALSE))</f>
        <v>0</v>
      </c>
      <c r="Y3" s="20"/>
      <c r="Z3" s="10">
        <f>IF(Y3=0,0,VLOOKUP(Y3,Dropdown!$U$2:$V$6,2,FALSE))</f>
        <v>0</v>
      </c>
      <c r="AA3" s="20"/>
      <c r="AB3" s="10">
        <f>IF(AA3=0,0,VLOOKUP(AA3,Dropdown!$U$2:$V$6,2,FALSE))</f>
        <v>0</v>
      </c>
      <c r="AC3" s="20"/>
      <c r="AD3" s="10">
        <f>IF(AC3=0,0,VLOOKUP(AC3,Dropdown!$U$2:$V$6,2,FALSE))</f>
        <v>0</v>
      </c>
      <c r="AE3" s="20"/>
      <c r="AF3" s="10">
        <f>IF(AE3=0,0,VLOOKUP(AE3,Dropdown!$U$2:$V$6,2,FALSE))</f>
        <v>0</v>
      </c>
      <c r="AG3" s="20"/>
      <c r="AH3" s="10">
        <f>IF(AG3=0,0,VLOOKUP(AG3,Dropdown!$U$2:$V$6,2,FALSE))</f>
        <v>0</v>
      </c>
      <c r="AI3" s="20"/>
      <c r="AJ3" s="10">
        <f>IF(AI3=0,0,VLOOKUP(AI3,Dropdown!$U$2:$V$6,2,FALSE))</f>
        <v>0</v>
      </c>
      <c r="AK3" s="20"/>
      <c r="AL3" s="10">
        <f>IF(AK3=0,0,VLOOKUP(AK3,Dropdown!$U$2:$V$6,2,FALSE))</f>
        <v>0</v>
      </c>
      <c r="AM3" s="20"/>
      <c r="AN3" s="10">
        <f>IF(AM3=0,0,VLOOKUP(AM3,Dropdown!$U$2:$V$6,2,FALSE))</f>
        <v>0</v>
      </c>
      <c r="AO3" s="20"/>
      <c r="AP3" s="20"/>
      <c r="AQ3" s="10">
        <f>IF(AP3="",0,VLOOKUP(AP3,Dropdown!$U$2:$V$6,2,FALSE))</f>
        <v>0</v>
      </c>
      <c r="AR3" s="20"/>
      <c r="AS3" s="10">
        <f>IF(AR3="",0,VLOOKUP(AR3,Dropdown!$U$2:$V$6,2,FALSE))</f>
        <v>0</v>
      </c>
      <c r="AT3" s="20"/>
      <c r="AU3" s="10">
        <f>IF(AT3="",0,VLOOKUP(AT3,Dropdown!$U$2:$V$6,2,FALSE))</f>
        <v>0</v>
      </c>
      <c r="AV3" s="20"/>
      <c r="AW3" s="10">
        <f>IF(AV3="",0,VLOOKUP(AV3,Dropdown!$U$2:$V$6,2,FALSE))</f>
        <v>0</v>
      </c>
      <c r="AX3" s="20"/>
      <c r="AY3" s="10">
        <f>IF(AX3="",0,VLOOKUP(AX3,Dropdown!$U$2:$V$6,2,FALSE))</f>
        <v>0</v>
      </c>
      <c r="AZ3" s="20"/>
      <c r="BA3" s="10">
        <f>IF(AZ3="",0,VLOOKUP(AZ3,Dropdown!$U$2:$V$6,2,FALSE))</f>
        <v>0</v>
      </c>
      <c r="BB3" s="20"/>
      <c r="BC3" s="10">
        <f>IF(BB3="",0,VLOOKUP(BB3,Dropdown!$U$2:$V$6,2,FALSE))</f>
        <v>0</v>
      </c>
      <c r="BD3" s="20"/>
      <c r="BE3" s="10">
        <f>IF(BD3="",0,VLOOKUP(BD3,Dropdown!$U$2:$V$6,2,FALSE))</f>
        <v>0</v>
      </c>
    </row>
    <row r="4" spans="1:57" ht="14.4" customHeight="1" x14ac:dyDescent="0.3">
      <c r="A4" s="32" t="s">
        <v>27</v>
      </c>
      <c r="B4" s="10">
        <f>VLOOKUP(A4,Vulnerabilty!$B$3:$C$56,2,FALSE)</f>
        <v>0</v>
      </c>
      <c r="C4" s="10"/>
      <c r="D4" s="10"/>
      <c r="E4" s="20" t="s">
        <v>113</v>
      </c>
      <c r="F4" s="10">
        <f>IF(E4=0,0,VLOOKUP(E4,Dropdown!$A$1:$B$7,2,FALSE))</f>
        <v>0</v>
      </c>
      <c r="G4" s="20" t="s">
        <v>114</v>
      </c>
      <c r="H4" s="10">
        <f>IF(G4=0,0,VLOOKUP(G4,Dropdown!$C$2:$D$7,2,FALSE))</f>
        <v>0</v>
      </c>
      <c r="I4" s="20" t="s">
        <v>107</v>
      </c>
      <c r="J4" s="10" t="e">
        <f>IF('Hazard information'!I4=0,0,VLOOKUP(I4,Dropdown!$K$2:$L$7,2,FALSE))</f>
        <v>#N/A</v>
      </c>
      <c r="K4" s="20" t="s">
        <v>107</v>
      </c>
      <c r="L4" s="10" t="e">
        <f>IF(K4=0,0,VLOOKUP(K4,Dropdown!$E$2:$F$7,2,FALSE))</f>
        <v>#N/A</v>
      </c>
      <c r="M4" s="20" t="s">
        <v>108</v>
      </c>
      <c r="N4" s="10">
        <f>IF(M4=0,0,VLOOKUP(M4,Dropdown!$G$2:$H$7,2,FALSE))</f>
        <v>0</v>
      </c>
      <c r="O4" s="20" t="s">
        <v>109</v>
      </c>
      <c r="P4" s="10">
        <f>IF('Hazard information'!O4=0,0,VLOOKUP(O4,Dropdown!$I$1:$J$7,2,FALSE))</f>
        <v>0</v>
      </c>
      <c r="Q4" s="20" t="s">
        <v>110</v>
      </c>
      <c r="R4" s="10">
        <f>IF(Q4=0,0,VLOOKUP(Q4,Dropdown!$M$2:$N$7,2,FALSE))</f>
        <v>0</v>
      </c>
      <c r="S4" s="20" t="s">
        <v>111</v>
      </c>
      <c r="T4" s="10">
        <f>IF(S4=0,0,VLOOKUP(S4,Dropdown!$O$2:$P$7,2,FALSE))</f>
        <v>0</v>
      </c>
      <c r="U4" s="20" t="s">
        <v>108</v>
      </c>
      <c r="V4" s="10">
        <f>IF(U4=0,0,VLOOKUP(U4,Dropdown!$Q$2:$R$7,2,FALSE))</f>
        <v>0</v>
      </c>
      <c r="W4" s="20" t="s">
        <v>112</v>
      </c>
      <c r="X4" s="10">
        <f>IF(W4=0,0,VLOOKUP(W4,Dropdown!$S$2:$T$7,2,FALSE))</f>
        <v>0</v>
      </c>
      <c r="Y4" s="20"/>
      <c r="Z4" s="10">
        <f>IF(Y4=0,0,VLOOKUP(Y4,Dropdown!$U$2:$V$6,2,FALSE))</f>
        <v>0</v>
      </c>
      <c r="AA4" s="20"/>
      <c r="AB4" s="10">
        <f>IF(AA4=0,0,VLOOKUP(AA4,Dropdown!$U$2:$V$6,2,FALSE))</f>
        <v>0</v>
      </c>
      <c r="AC4" s="20"/>
      <c r="AD4" s="10">
        <f>IF(AC4=0,0,VLOOKUP(AC4,Dropdown!$U$2:$V$6,2,FALSE))</f>
        <v>0</v>
      </c>
      <c r="AE4" s="20"/>
      <c r="AF4" s="10">
        <f>IF(AE4=0,0,VLOOKUP(AE4,Dropdown!$U$2:$V$6,2,FALSE))</f>
        <v>0</v>
      </c>
      <c r="AG4" s="20"/>
      <c r="AH4" s="10">
        <f>IF(AG4=0,0,VLOOKUP(AG4,Dropdown!$U$2:$V$6,2,FALSE))</f>
        <v>0</v>
      </c>
      <c r="AI4" s="20"/>
      <c r="AJ4" s="10">
        <f>IF(AI4=0,0,VLOOKUP(AI4,Dropdown!$U$2:$V$6,2,FALSE))</f>
        <v>0</v>
      </c>
      <c r="AK4" s="20"/>
      <c r="AL4" s="10">
        <f>IF(AK4=0,0,VLOOKUP(AK4,Dropdown!$U$2:$V$6,2,FALSE))</f>
        <v>0</v>
      </c>
      <c r="AM4" s="20"/>
      <c r="AN4" s="10">
        <f>IF(AM4=0,0,VLOOKUP(AM4,Dropdown!$U$2:$V$6,2,FALSE))</f>
        <v>0</v>
      </c>
      <c r="AO4" s="20"/>
      <c r="AP4" s="20"/>
      <c r="AQ4" s="10">
        <f>IF(AP4="",0,VLOOKUP(AP4,Dropdown!$U$2:$V$6,2,FALSE))</f>
        <v>0</v>
      </c>
      <c r="AR4" s="20"/>
      <c r="AS4" s="10">
        <f>IF(AR4="",0,VLOOKUP(AR4,Dropdown!$U$2:$V$6,2,FALSE))</f>
        <v>0</v>
      </c>
      <c r="AT4" s="20"/>
      <c r="AU4" s="10">
        <f>IF(AT4="",0,VLOOKUP(AT4,Dropdown!$U$2:$V$6,2,FALSE))</f>
        <v>0</v>
      </c>
      <c r="AV4" s="20"/>
      <c r="AW4" s="10">
        <f>IF(AV4="",0,VLOOKUP(AV4,Dropdown!$U$2:$V$6,2,FALSE))</f>
        <v>0</v>
      </c>
      <c r="AX4" s="20"/>
      <c r="AY4" s="10">
        <f>IF(AX4="",0,VLOOKUP(AX4,Dropdown!$U$2:$V$6,2,FALSE))</f>
        <v>0</v>
      </c>
      <c r="AZ4" s="20"/>
      <c r="BA4" s="10">
        <f>IF(AZ4="",0,VLOOKUP(AZ4,Dropdown!$U$2:$V$6,2,FALSE))</f>
        <v>0</v>
      </c>
      <c r="BB4" s="20"/>
      <c r="BC4" s="10">
        <f>IF(BB4="",0,VLOOKUP(BB4,Dropdown!$U$2:$V$6,2,FALSE))</f>
        <v>0</v>
      </c>
      <c r="BD4" s="20"/>
      <c r="BE4" s="10">
        <f>IF(BD4="",0,VLOOKUP(BD4,Dropdown!$U$2:$V$6,2,FALSE))</f>
        <v>0</v>
      </c>
    </row>
    <row r="5" spans="1:57" ht="14.4" customHeight="1" x14ac:dyDescent="0.3">
      <c r="A5" s="32" t="s">
        <v>28</v>
      </c>
      <c r="B5" s="10">
        <f>VLOOKUP(A5,Vulnerabilty!$B$3:$C$56,2,FALSE)</f>
        <v>0</v>
      </c>
      <c r="C5" s="10"/>
      <c r="D5" s="10"/>
      <c r="E5" s="20" t="s">
        <v>113</v>
      </c>
      <c r="F5" s="10">
        <f>IF(E5=0,0,VLOOKUP(E5,Dropdown!$A$1:$B$7,2,FALSE))</f>
        <v>0</v>
      </c>
      <c r="G5" s="20" t="s">
        <v>114</v>
      </c>
      <c r="H5" s="10">
        <f>IF(G5=0,0,VLOOKUP(G5,Dropdown!$C$2:$D$7,2,FALSE))</f>
        <v>0</v>
      </c>
      <c r="I5" s="20" t="s">
        <v>107</v>
      </c>
      <c r="J5" s="10" t="e">
        <f>IF('Hazard information'!I5=0,0,VLOOKUP(I5,Dropdown!$K$2:$L$7,2,FALSE))</f>
        <v>#N/A</v>
      </c>
      <c r="K5" s="20" t="s">
        <v>107</v>
      </c>
      <c r="L5" s="10" t="e">
        <f>IF(K5=0,0,VLOOKUP(K5,Dropdown!$E$2:$F$7,2,FALSE))</f>
        <v>#N/A</v>
      </c>
      <c r="M5" s="20" t="s">
        <v>108</v>
      </c>
      <c r="N5" s="10">
        <f>IF(M5=0,0,VLOOKUP(M5,Dropdown!$G$2:$H$7,2,FALSE))</f>
        <v>0</v>
      </c>
      <c r="O5" s="20" t="s">
        <v>109</v>
      </c>
      <c r="P5" s="10">
        <f>IF('Hazard information'!O5=0,0,VLOOKUP(O5,Dropdown!$I$1:$J$7,2,FALSE))</f>
        <v>0</v>
      </c>
      <c r="Q5" s="20" t="s">
        <v>110</v>
      </c>
      <c r="R5" s="10">
        <f>IF(Q5=0,0,VLOOKUP(Q5,Dropdown!$M$2:$N$7,2,FALSE))</f>
        <v>0</v>
      </c>
      <c r="S5" s="20" t="s">
        <v>111</v>
      </c>
      <c r="T5" s="10">
        <f>IF(S5=0,0,VLOOKUP(S5,Dropdown!$O$2:$P$7,2,FALSE))</f>
        <v>0</v>
      </c>
      <c r="U5" s="20" t="s">
        <v>108</v>
      </c>
      <c r="V5" s="10">
        <f>IF(U5=0,0,VLOOKUP(U5,Dropdown!$Q$2:$R$7,2,FALSE))</f>
        <v>0</v>
      </c>
      <c r="W5" s="20" t="s">
        <v>112</v>
      </c>
      <c r="X5" s="10">
        <f>IF(W5=0,0,VLOOKUP(W5,Dropdown!$S$2:$T$7,2,FALSE))</f>
        <v>0</v>
      </c>
      <c r="Y5" s="20"/>
      <c r="Z5" s="10">
        <f>IF(Y5=0,0,VLOOKUP(Y5,Dropdown!$U$2:$V$6,2,FALSE))</f>
        <v>0</v>
      </c>
      <c r="AA5" s="20"/>
      <c r="AB5" s="10">
        <f>IF(AA5=0,0,VLOOKUP(AA5,Dropdown!$U$2:$V$6,2,FALSE))</f>
        <v>0</v>
      </c>
      <c r="AC5" s="20"/>
      <c r="AD5" s="10">
        <f>IF(AC5=0,0,VLOOKUP(AC5,Dropdown!$U$2:$V$6,2,FALSE))</f>
        <v>0</v>
      </c>
      <c r="AE5" s="20"/>
      <c r="AF5" s="10">
        <f>IF(AE5=0,0,VLOOKUP(AE5,Dropdown!$U$2:$V$6,2,FALSE))</f>
        <v>0</v>
      </c>
      <c r="AG5" s="20"/>
      <c r="AH5" s="10">
        <f>IF(AG5=0,0,VLOOKUP(AG5,Dropdown!$U$2:$V$6,2,FALSE))</f>
        <v>0</v>
      </c>
      <c r="AI5" s="20"/>
      <c r="AJ5" s="10">
        <f>IF(AI5=0,0,VLOOKUP(AI5,Dropdown!$U$2:$V$6,2,FALSE))</f>
        <v>0</v>
      </c>
      <c r="AK5" s="20"/>
      <c r="AL5" s="10">
        <f>IF(AK5=0,0,VLOOKUP(AK5,Dropdown!$U$2:$V$6,2,FALSE))</f>
        <v>0</v>
      </c>
      <c r="AM5" s="20"/>
      <c r="AN5" s="10">
        <f>IF(AM5=0,0,VLOOKUP(AM5,Dropdown!$U$2:$V$6,2,FALSE))</f>
        <v>0</v>
      </c>
      <c r="AO5" s="20"/>
      <c r="AP5" s="20"/>
      <c r="AQ5" s="10">
        <f>IF(AP5="",0,VLOOKUP(AP5,Dropdown!$U$2:$V$6,2,FALSE))</f>
        <v>0</v>
      </c>
      <c r="AR5" s="20"/>
      <c r="AS5" s="10">
        <f>IF(AR5="",0,VLOOKUP(AR5,Dropdown!$U$2:$V$6,2,FALSE))</f>
        <v>0</v>
      </c>
      <c r="AT5" s="20"/>
      <c r="AU5" s="10">
        <f>IF(AT5="",0,VLOOKUP(AT5,Dropdown!$U$2:$V$6,2,FALSE))</f>
        <v>0</v>
      </c>
      <c r="AV5" s="20"/>
      <c r="AW5" s="10">
        <f>IF(AV5="",0,VLOOKUP(AV5,Dropdown!$U$2:$V$6,2,FALSE))</f>
        <v>0</v>
      </c>
      <c r="AX5" s="20"/>
      <c r="AY5" s="10">
        <f>IF(AX5="",0,VLOOKUP(AX5,Dropdown!$U$2:$V$6,2,FALSE))</f>
        <v>0</v>
      </c>
      <c r="AZ5" s="20"/>
      <c r="BA5" s="10">
        <f>IF(AZ5="",0,VLOOKUP(AZ5,Dropdown!$U$2:$V$6,2,FALSE))</f>
        <v>0</v>
      </c>
      <c r="BB5" s="20"/>
      <c r="BC5" s="10">
        <f>IF(BB5="",0,VLOOKUP(BB5,Dropdown!$U$2:$V$6,2,FALSE))</f>
        <v>0</v>
      </c>
      <c r="BD5" s="20"/>
      <c r="BE5" s="10">
        <f>IF(BD5="",0,VLOOKUP(BD5,Dropdown!$U$2:$V$6,2,FALSE))</f>
        <v>0</v>
      </c>
    </row>
    <row r="6" spans="1:57" ht="14.4" customHeight="1" x14ac:dyDescent="0.3">
      <c r="A6" s="32" t="s">
        <v>29</v>
      </c>
      <c r="B6" s="10">
        <f>VLOOKUP(A6,Vulnerabilty!$B$3:$C$56,2,FALSE)</f>
        <v>0</v>
      </c>
      <c r="C6" s="10"/>
      <c r="D6" s="10"/>
      <c r="E6" s="20" t="s">
        <v>113</v>
      </c>
      <c r="F6" s="10">
        <f>IF(E6=0,0,VLOOKUP(E6,Dropdown!$A$1:$B$7,2,FALSE))</f>
        <v>0</v>
      </c>
      <c r="G6" s="20" t="s">
        <v>114</v>
      </c>
      <c r="H6" s="10">
        <f>IF(G6=0,0,VLOOKUP(G6,Dropdown!$C$2:$D$7,2,FALSE))</f>
        <v>0</v>
      </c>
      <c r="I6" s="20" t="s">
        <v>107</v>
      </c>
      <c r="J6" s="10" t="e">
        <f>IF('Hazard information'!I6=0,0,VLOOKUP(I6,Dropdown!$K$2:$L$7,2,FALSE))</f>
        <v>#N/A</v>
      </c>
      <c r="K6" s="20" t="s">
        <v>107</v>
      </c>
      <c r="L6" s="10" t="e">
        <f>IF(K6=0,0,VLOOKUP(K6,Dropdown!$E$2:$F$7,2,FALSE))</f>
        <v>#N/A</v>
      </c>
      <c r="M6" s="20" t="s">
        <v>108</v>
      </c>
      <c r="N6" s="10">
        <f>IF(M6=0,0,VLOOKUP(M6,Dropdown!$G$2:$H$7,2,FALSE))</f>
        <v>0</v>
      </c>
      <c r="O6" s="20" t="s">
        <v>109</v>
      </c>
      <c r="P6" s="10">
        <f>IF('Hazard information'!O6=0,0,VLOOKUP(O6,Dropdown!$I$1:$J$7,2,FALSE))</f>
        <v>0</v>
      </c>
      <c r="Q6" s="20" t="s">
        <v>110</v>
      </c>
      <c r="R6" s="10">
        <f>IF(Q6=0,0,VLOOKUP(Q6,Dropdown!$M$2:$N$7,2,FALSE))</f>
        <v>0</v>
      </c>
      <c r="S6" s="20" t="s">
        <v>111</v>
      </c>
      <c r="T6" s="10">
        <f>IF(S6=0,0,VLOOKUP(S6,Dropdown!$O$2:$P$7,2,FALSE))</f>
        <v>0</v>
      </c>
      <c r="U6" s="20" t="s">
        <v>108</v>
      </c>
      <c r="V6" s="10">
        <f>IF(U6=0,0,VLOOKUP(U6,Dropdown!$Q$2:$R$7,2,FALSE))</f>
        <v>0</v>
      </c>
      <c r="W6" s="20" t="s">
        <v>112</v>
      </c>
      <c r="X6" s="10">
        <f>IF(W6=0,0,VLOOKUP(W6,Dropdown!$S$2:$T$7,2,FALSE))</f>
        <v>0</v>
      </c>
      <c r="Y6" s="20"/>
      <c r="Z6" s="10">
        <f>IF(Y6=0,0,VLOOKUP(Y6,Dropdown!$U$2:$V$6,2,FALSE))</f>
        <v>0</v>
      </c>
      <c r="AA6" s="20"/>
      <c r="AB6" s="10">
        <f>IF(AA6=0,0,VLOOKUP(AA6,Dropdown!$U$2:$V$6,2,FALSE))</f>
        <v>0</v>
      </c>
      <c r="AC6" s="20"/>
      <c r="AD6" s="10">
        <f>IF(AC6=0,0,VLOOKUP(AC6,Dropdown!$U$2:$V$6,2,FALSE))</f>
        <v>0</v>
      </c>
      <c r="AE6" s="20"/>
      <c r="AF6" s="10">
        <f>IF(AE6=0,0,VLOOKUP(AE6,Dropdown!$U$2:$V$6,2,FALSE))</f>
        <v>0</v>
      </c>
      <c r="AG6" s="20"/>
      <c r="AH6" s="10">
        <f>IF(AG6=0,0,VLOOKUP(AG6,Dropdown!$U$2:$V$6,2,FALSE))</f>
        <v>0</v>
      </c>
      <c r="AI6" s="20"/>
      <c r="AJ6" s="10">
        <f>IF(AI6=0,0,VLOOKUP(AI6,Dropdown!$U$2:$V$6,2,FALSE))</f>
        <v>0</v>
      </c>
      <c r="AK6" s="20"/>
      <c r="AL6" s="10">
        <f>IF(AK6=0,0,VLOOKUP(AK6,Dropdown!$U$2:$V$6,2,FALSE))</f>
        <v>0</v>
      </c>
      <c r="AM6" s="20"/>
      <c r="AN6" s="10">
        <f>IF(AM6=0,0,VLOOKUP(AM6,Dropdown!$U$2:$V$6,2,FALSE))</f>
        <v>0</v>
      </c>
      <c r="AO6" s="20"/>
      <c r="AP6" s="20"/>
      <c r="AQ6" s="10">
        <f>IF(AP6="",0,VLOOKUP(AP6,Dropdown!$U$2:$V$6,2,FALSE))</f>
        <v>0</v>
      </c>
      <c r="AR6" s="20"/>
      <c r="AS6" s="10">
        <f>IF(AR6="",0,VLOOKUP(AR6,Dropdown!$U$2:$V$6,2,FALSE))</f>
        <v>0</v>
      </c>
      <c r="AT6" s="20"/>
      <c r="AU6" s="10">
        <f>IF(AT6="",0,VLOOKUP(AT6,Dropdown!$U$2:$V$6,2,FALSE))</f>
        <v>0</v>
      </c>
      <c r="AV6" s="20"/>
      <c r="AW6" s="10">
        <f>IF(AV6="",0,VLOOKUP(AV6,Dropdown!$U$2:$V$6,2,FALSE))</f>
        <v>0</v>
      </c>
      <c r="AX6" s="20"/>
      <c r="AY6" s="10">
        <f>IF(AX6="",0,VLOOKUP(AX6,Dropdown!$U$2:$V$6,2,FALSE))</f>
        <v>0</v>
      </c>
      <c r="AZ6" s="20"/>
      <c r="BA6" s="10">
        <f>IF(AZ6="",0,VLOOKUP(AZ6,Dropdown!$U$2:$V$6,2,FALSE))</f>
        <v>0</v>
      </c>
      <c r="BB6" s="20"/>
      <c r="BC6" s="10">
        <f>IF(BB6="",0,VLOOKUP(BB6,Dropdown!$U$2:$V$6,2,FALSE))</f>
        <v>0</v>
      </c>
      <c r="BD6" s="20"/>
      <c r="BE6" s="10">
        <f>IF(BD6="",0,VLOOKUP(BD6,Dropdown!$U$2:$V$6,2,FALSE))</f>
        <v>0</v>
      </c>
    </row>
    <row r="7" spans="1:57" ht="14.4" customHeight="1" x14ac:dyDescent="0.3">
      <c r="A7" s="32" t="s">
        <v>30</v>
      </c>
      <c r="B7" s="10">
        <f>VLOOKUP(A7,Vulnerabilty!$B$3:$C$56,2,FALSE)</f>
        <v>0</v>
      </c>
      <c r="C7" s="10"/>
      <c r="D7" s="10"/>
      <c r="E7" s="20" t="s">
        <v>113</v>
      </c>
      <c r="F7" s="10">
        <f>IF(E7=0,0,VLOOKUP(E7,Dropdown!$A$1:$B$7,2,FALSE))</f>
        <v>0</v>
      </c>
      <c r="G7" s="20" t="s">
        <v>114</v>
      </c>
      <c r="H7" s="10">
        <f>IF(G7=0,0,VLOOKUP(G7,Dropdown!$C$2:$D$7,2,FALSE))</f>
        <v>0</v>
      </c>
      <c r="I7" s="20" t="s">
        <v>107</v>
      </c>
      <c r="J7" s="10" t="e">
        <f>IF('Hazard information'!I7=0,0,VLOOKUP(I7,Dropdown!$K$2:$L$7,2,FALSE))</f>
        <v>#N/A</v>
      </c>
      <c r="K7" s="20" t="s">
        <v>107</v>
      </c>
      <c r="L7" s="10" t="e">
        <f>IF(K7=0,0,VLOOKUP(K7,Dropdown!$E$2:$F$7,2,FALSE))</f>
        <v>#N/A</v>
      </c>
      <c r="M7" s="20" t="s">
        <v>108</v>
      </c>
      <c r="N7" s="10">
        <f>IF(M7=0,0,VLOOKUP(M7,Dropdown!$G$2:$H$7,2,FALSE))</f>
        <v>0</v>
      </c>
      <c r="O7" s="20" t="s">
        <v>109</v>
      </c>
      <c r="P7" s="10">
        <f>IF('Hazard information'!O7=0,0,VLOOKUP(O7,Dropdown!$I$1:$J$7,2,FALSE))</f>
        <v>0</v>
      </c>
      <c r="Q7" s="20" t="s">
        <v>110</v>
      </c>
      <c r="R7" s="10">
        <f>IF(Q7=0,0,VLOOKUP(Q7,Dropdown!$M$2:$N$7,2,FALSE))</f>
        <v>0</v>
      </c>
      <c r="S7" s="20" t="s">
        <v>111</v>
      </c>
      <c r="T7" s="10">
        <f>IF(S7=0,0,VLOOKUP(S7,Dropdown!$O$2:$P$7,2,FALSE))</f>
        <v>0</v>
      </c>
      <c r="U7" s="20" t="s">
        <v>108</v>
      </c>
      <c r="V7" s="10">
        <f>IF(U7=0,0,VLOOKUP(U7,Dropdown!$Q$2:$R$7,2,FALSE))</f>
        <v>0</v>
      </c>
      <c r="W7" s="20" t="s">
        <v>112</v>
      </c>
      <c r="X7" s="10">
        <f>IF(W7=0,0,VLOOKUP(W7,Dropdown!$S$2:$T$7,2,FALSE))</f>
        <v>0</v>
      </c>
      <c r="Y7" s="20"/>
      <c r="Z7" s="10">
        <f>IF(Y7=0,0,VLOOKUP(Y7,Dropdown!$U$2:$V$6,2,FALSE))</f>
        <v>0</v>
      </c>
      <c r="AA7" s="20"/>
      <c r="AB7" s="10">
        <f>IF(AA7=0,0,VLOOKUP(AA7,Dropdown!$U$2:$V$6,2,FALSE))</f>
        <v>0</v>
      </c>
      <c r="AC7" s="20"/>
      <c r="AD7" s="10">
        <f>IF(AC7=0,0,VLOOKUP(AC7,Dropdown!$U$2:$V$6,2,FALSE))</f>
        <v>0</v>
      </c>
      <c r="AE7" s="20"/>
      <c r="AF7" s="10">
        <f>IF(AE7=0,0,VLOOKUP(AE7,Dropdown!$U$2:$V$6,2,FALSE))</f>
        <v>0</v>
      </c>
      <c r="AG7" s="20"/>
      <c r="AH7" s="10">
        <f>IF(AG7=0,0,VLOOKUP(AG7,Dropdown!$U$2:$V$6,2,FALSE))</f>
        <v>0</v>
      </c>
      <c r="AI7" s="20"/>
      <c r="AJ7" s="10">
        <f>IF(AI7=0,0,VLOOKUP(AI7,Dropdown!$U$2:$V$6,2,FALSE))</f>
        <v>0</v>
      </c>
      <c r="AK7" s="20"/>
      <c r="AL7" s="10">
        <f>IF(AK7=0,0,VLOOKUP(AK7,Dropdown!$U$2:$V$6,2,FALSE))</f>
        <v>0</v>
      </c>
      <c r="AM7" s="20"/>
      <c r="AN7" s="10">
        <f>IF(AM7=0,0,VLOOKUP(AM7,Dropdown!$U$2:$V$6,2,FALSE))</f>
        <v>0</v>
      </c>
      <c r="AO7" s="20"/>
      <c r="AP7" s="20"/>
      <c r="AQ7" s="10">
        <f>IF(AP7="",0,VLOOKUP(AP7,Dropdown!$U$2:$V$6,2,FALSE))</f>
        <v>0</v>
      </c>
      <c r="AR7" s="20"/>
      <c r="AS7" s="10">
        <f>IF(AR7="",0,VLOOKUP(AR7,Dropdown!$U$2:$V$6,2,FALSE))</f>
        <v>0</v>
      </c>
      <c r="AT7" s="20"/>
      <c r="AU7" s="10">
        <f>IF(AT7="",0,VLOOKUP(AT7,Dropdown!$U$2:$V$6,2,FALSE))</f>
        <v>0</v>
      </c>
      <c r="AV7" s="20"/>
      <c r="AW7" s="10">
        <f>IF(AV7="",0,VLOOKUP(AV7,Dropdown!$U$2:$V$6,2,FALSE))</f>
        <v>0</v>
      </c>
      <c r="AX7" s="20"/>
      <c r="AY7" s="10">
        <f>IF(AX7="",0,VLOOKUP(AX7,Dropdown!$U$2:$V$6,2,FALSE))</f>
        <v>0</v>
      </c>
      <c r="AZ7" s="20"/>
      <c r="BA7" s="10">
        <f>IF(AZ7="",0,VLOOKUP(AZ7,Dropdown!$U$2:$V$6,2,FALSE))</f>
        <v>0</v>
      </c>
      <c r="BB7" s="20"/>
      <c r="BC7" s="10">
        <f>IF(BB7="",0,VLOOKUP(BB7,Dropdown!$U$2:$V$6,2,FALSE))</f>
        <v>0</v>
      </c>
      <c r="BD7" s="20"/>
      <c r="BE7" s="10">
        <f>IF(BD7="",0,VLOOKUP(BD7,Dropdown!$U$2:$V$6,2,FALSE))</f>
        <v>0</v>
      </c>
    </row>
    <row r="8" spans="1:57" ht="14.4" customHeight="1" x14ac:dyDescent="0.3">
      <c r="A8" s="32" t="s">
        <v>31</v>
      </c>
      <c r="B8" s="10">
        <f>VLOOKUP(A8,Vulnerabilty!$B$3:$C$56,2,FALSE)</f>
        <v>0</v>
      </c>
      <c r="C8" s="10"/>
      <c r="D8" s="10"/>
      <c r="E8" s="20" t="s">
        <v>113</v>
      </c>
      <c r="F8" s="10">
        <f>IF(E8=0,0,VLOOKUP(E8,Dropdown!$A$1:$B$7,2,FALSE))</f>
        <v>0</v>
      </c>
      <c r="G8" s="20" t="s">
        <v>114</v>
      </c>
      <c r="H8" s="10">
        <f>IF(G8=0,0,VLOOKUP(G8,Dropdown!$C$2:$D$7,2,FALSE))</f>
        <v>0</v>
      </c>
      <c r="I8" s="20" t="s">
        <v>107</v>
      </c>
      <c r="J8" s="10" t="e">
        <f>IF('Hazard information'!I8=0,0,VLOOKUP(I8,Dropdown!$K$2:$L$7,2,FALSE))</f>
        <v>#N/A</v>
      </c>
      <c r="K8" s="20" t="s">
        <v>107</v>
      </c>
      <c r="L8" s="10" t="e">
        <f>IF(K8=0,0,VLOOKUP(K8,Dropdown!$E$2:$F$7,2,FALSE))</f>
        <v>#N/A</v>
      </c>
      <c r="M8" s="20" t="s">
        <v>108</v>
      </c>
      <c r="N8" s="10">
        <f>IF(M8=0,0,VLOOKUP(M8,Dropdown!$G$2:$H$7,2,FALSE))</f>
        <v>0</v>
      </c>
      <c r="O8" s="20" t="s">
        <v>109</v>
      </c>
      <c r="P8" s="10">
        <f>IF('Hazard information'!O8=0,0,VLOOKUP(O8,Dropdown!$I$1:$J$7,2,FALSE))</f>
        <v>0</v>
      </c>
      <c r="Q8" s="20" t="s">
        <v>110</v>
      </c>
      <c r="R8" s="10">
        <f>IF(Q8=0,0,VLOOKUP(Q8,Dropdown!$M$2:$N$7,2,FALSE))</f>
        <v>0</v>
      </c>
      <c r="S8" s="20" t="s">
        <v>111</v>
      </c>
      <c r="T8" s="10">
        <f>IF(S8=0,0,VLOOKUP(S8,Dropdown!$O$2:$P$7,2,FALSE))</f>
        <v>0</v>
      </c>
      <c r="U8" s="20" t="s">
        <v>108</v>
      </c>
      <c r="V8" s="10">
        <f>IF(U8=0,0,VLOOKUP(U8,Dropdown!$Q$2:$R$7,2,FALSE))</f>
        <v>0</v>
      </c>
      <c r="W8" s="20" t="s">
        <v>112</v>
      </c>
      <c r="X8" s="10">
        <f>IF(W8=0,0,VLOOKUP(W8,Dropdown!$S$2:$T$7,2,FALSE))</f>
        <v>0</v>
      </c>
      <c r="Y8" s="20"/>
      <c r="Z8" s="10">
        <f>IF(Y8=0,0,VLOOKUP(Y8,Dropdown!$U$2:$V$6,2,FALSE))</f>
        <v>0</v>
      </c>
      <c r="AA8" s="20"/>
      <c r="AB8" s="10">
        <f>IF(AA8=0,0,VLOOKUP(AA8,Dropdown!$U$2:$V$6,2,FALSE))</f>
        <v>0</v>
      </c>
      <c r="AC8" s="20"/>
      <c r="AD8" s="10">
        <f>IF(AC8=0,0,VLOOKUP(AC8,Dropdown!$U$2:$V$6,2,FALSE))</f>
        <v>0</v>
      </c>
      <c r="AE8" s="20"/>
      <c r="AF8" s="10">
        <f>IF(AE8=0,0,VLOOKUP(AE8,Dropdown!$U$2:$V$6,2,FALSE))</f>
        <v>0</v>
      </c>
      <c r="AG8" s="20"/>
      <c r="AH8" s="10">
        <f>IF(AG8=0,0,VLOOKUP(AG8,Dropdown!$U$2:$V$6,2,FALSE))</f>
        <v>0</v>
      </c>
      <c r="AI8" s="20"/>
      <c r="AJ8" s="10">
        <f>IF(AI8=0,0,VLOOKUP(AI8,Dropdown!$U$2:$V$6,2,FALSE))</f>
        <v>0</v>
      </c>
      <c r="AK8" s="20"/>
      <c r="AL8" s="10">
        <f>IF(AK8=0,0,VLOOKUP(AK8,Dropdown!$U$2:$V$6,2,FALSE))</f>
        <v>0</v>
      </c>
      <c r="AM8" s="20"/>
      <c r="AN8" s="10">
        <f>IF(AM8=0,0,VLOOKUP(AM8,Dropdown!$U$2:$V$6,2,FALSE))</f>
        <v>0</v>
      </c>
      <c r="AO8" s="20"/>
      <c r="AP8" s="20"/>
      <c r="AQ8" s="10">
        <f>IF(AP8="",0,VLOOKUP(AP8,Dropdown!$U$2:$V$6,2,FALSE))</f>
        <v>0</v>
      </c>
      <c r="AR8" s="20"/>
      <c r="AS8" s="10">
        <f>IF(AR8="",0,VLOOKUP(AR8,Dropdown!$U$2:$V$6,2,FALSE))</f>
        <v>0</v>
      </c>
      <c r="AT8" s="20"/>
      <c r="AU8" s="10">
        <f>IF(AT8="",0,VLOOKUP(AT8,Dropdown!$U$2:$V$6,2,FALSE))</f>
        <v>0</v>
      </c>
      <c r="AV8" s="20"/>
      <c r="AW8" s="10">
        <f>IF(AV8="",0,VLOOKUP(AV8,Dropdown!$U$2:$V$6,2,FALSE))</f>
        <v>0</v>
      </c>
      <c r="AX8" s="20"/>
      <c r="AY8" s="10">
        <f>IF(AX8="",0,VLOOKUP(AX8,Dropdown!$U$2:$V$6,2,FALSE))</f>
        <v>0</v>
      </c>
      <c r="AZ8" s="20"/>
      <c r="BA8" s="10">
        <f>IF(AZ8="",0,VLOOKUP(AZ8,Dropdown!$U$2:$V$6,2,FALSE))</f>
        <v>0</v>
      </c>
      <c r="BB8" s="20"/>
      <c r="BC8" s="10">
        <f>IF(BB8="",0,VLOOKUP(BB8,Dropdown!$U$2:$V$6,2,FALSE))</f>
        <v>0</v>
      </c>
      <c r="BD8" s="20"/>
      <c r="BE8" s="10">
        <f>IF(BD8="",0,VLOOKUP(BD8,Dropdown!$U$2:$V$6,2,FALSE))</f>
        <v>0</v>
      </c>
    </row>
    <row r="9" spans="1:57" ht="14.4" customHeight="1" x14ac:dyDescent="0.3">
      <c r="A9" s="32" t="s">
        <v>32</v>
      </c>
      <c r="B9" s="10">
        <f>VLOOKUP(A9,Vulnerabilty!$B$3:$C$56,2,FALSE)</f>
        <v>0</v>
      </c>
      <c r="C9" s="10"/>
      <c r="D9" s="10"/>
      <c r="E9" s="20" t="s">
        <v>113</v>
      </c>
      <c r="F9" s="10">
        <f>IF(E9=0,0,VLOOKUP(E9,Dropdown!$A$1:$B$7,2,FALSE))</f>
        <v>0</v>
      </c>
      <c r="G9" s="20" t="s">
        <v>114</v>
      </c>
      <c r="H9" s="10">
        <f>IF(G9=0,0,VLOOKUP(G9,Dropdown!$C$2:$D$7,2,FALSE))</f>
        <v>0</v>
      </c>
      <c r="I9" s="20" t="s">
        <v>107</v>
      </c>
      <c r="J9" s="10" t="e">
        <f>IF('Hazard information'!I9=0,0,VLOOKUP(I9,Dropdown!$K$2:$L$7,2,FALSE))</f>
        <v>#N/A</v>
      </c>
      <c r="K9" s="20" t="s">
        <v>107</v>
      </c>
      <c r="L9" s="10" t="e">
        <f>IF(K9=0,0,VLOOKUP(K9,Dropdown!$E$2:$F$7,2,FALSE))</f>
        <v>#N/A</v>
      </c>
      <c r="M9" s="20" t="s">
        <v>108</v>
      </c>
      <c r="N9" s="10">
        <f>IF(M9=0,0,VLOOKUP(M9,Dropdown!$G$2:$H$7,2,FALSE))</f>
        <v>0</v>
      </c>
      <c r="O9" s="20" t="s">
        <v>109</v>
      </c>
      <c r="P9" s="10">
        <f>IF('Hazard information'!O9=0,0,VLOOKUP(O9,Dropdown!$I$1:$J$7,2,FALSE))</f>
        <v>0</v>
      </c>
      <c r="Q9" s="20" t="s">
        <v>110</v>
      </c>
      <c r="R9" s="10">
        <f>IF(Q9=0,0,VLOOKUP(Q9,Dropdown!$M$2:$N$7,2,FALSE))</f>
        <v>0</v>
      </c>
      <c r="S9" s="20" t="s">
        <v>111</v>
      </c>
      <c r="T9" s="10">
        <f>IF(S9=0,0,VLOOKUP(S9,Dropdown!$O$2:$P$7,2,FALSE))</f>
        <v>0</v>
      </c>
      <c r="U9" s="20" t="s">
        <v>108</v>
      </c>
      <c r="V9" s="10">
        <f>IF(U9=0,0,VLOOKUP(U9,Dropdown!$Q$2:$R$7,2,FALSE))</f>
        <v>0</v>
      </c>
      <c r="W9" s="20" t="s">
        <v>112</v>
      </c>
      <c r="X9" s="10">
        <f>IF(W9=0,0,VLOOKUP(W9,Dropdown!$S$2:$T$7,2,FALSE))</f>
        <v>0</v>
      </c>
      <c r="Y9" s="20"/>
      <c r="Z9" s="10">
        <f>IF(Y9=0,0,VLOOKUP(Y9,Dropdown!$U$2:$V$6,2,FALSE))</f>
        <v>0</v>
      </c>
      <c r="AA9" s="20"/>
      <c r="AB9" s="10">
        <f>IF(AA9=0,0,VLOOKUP(AA9,Dropdown!$U$2:$V$6,2,FALSE))</f>
        <v>0</v>
      </c>
      <c r="AC9" s="20"/>
      <c r="AD9" s="10">
        <f>IF(AC9=0,0,VLOOKUP(AC9,Dropdown!$U$2:$V$6,2,FALSE))</f>
        <v>0</v>
      </c>
      <c r="AE9" s="20"/>
      <c r="AF9" s="10">
        <f>IF(AE9=0,0,VLOOKUP(AE9,Dropdown!$U$2:$V$6,2,FALSE))</f>
        <v>0</v>
      </c>
      <c r="AG9" s="20"/>
      <c r="AH9" s="10">
        <f>IF(AG9=0,0,VLOOKUP(AG9,Dropdown!$U$2:$V$6,2,FALSE))</f>
        <v>0</v>
      </c>
      <c r="AI9" s="20"/>
      <c r="AJ9" s="10">
        <f>IF(AI9=0,0,VLOOKUP(AI9,Dropdown!$U$2:$V$6,2,FALSE))</f>
        <v>0</v>
      </c>
      <c r="AK9" s="20"/>
      <c r="AL9" s="10">
        <f>IF(AK9=0,0,VLOOKUP(AK9,Dropdown!$U$2:$V$6,2,FALSE))</f>
        <v>0</v>
      </c>
      <c r="AM9" s="20"/>
      <c r="AN9" s="10">
        <f>IF(AM9=0,0,VLOOKUP(AM9,Dropdown!$U$2:$V$6,2,FALSE))</f>
        <v>0</v>
      </c>
      <c r="AO9" s="20"/>
      <c r="AP9" s="20"/>
      <c r="AQ9" s="10">
        <f>IF(AP9="",0,VLOOKUP(AP9,Dropdown!$U$2:$V$6,2,FALSE))</f>
        <v>0</v>
      </c>
      <c r="AR9" s="20"/>
      <c r="AS9" s="10">
        <f>IF(AR9="",0,VLOOKUP(AR9,Dropdown!$U$2:$V$6,2,FALSE))</f>
        <v>0</v>
      </c>
      <c r="AT9" s="20"/>
      <c r="AU9" s="10">
        <f>IF(AT9="",0,VLOOKUP(AT9,Dropdown!$U$2:$V$6,2,FALSE))</f>
        <v>0</v>
      </c>
      <c r="AV9" s="20"/>
      <c r="AW9" s="10">
        <f>IF(AV9="",0,VLOOKUP(AV9,Dropdown!$U$2:$V$6,2,FALSE))</f>
        <v>0</v>
      </c>
      <c r="AX9" s="20"/>
      <c r="AY9" s="10">
        <f>IF(AX9="",0,VLOOKUP(AX9,Dropdown!$U$2:$V$6,2,FALSE))</f>
        <v>0</v>
      </c>
      <c r="AZ9" s="20"/>
      <c r="BA9" s="10">
        <f>IF(AZ9="",0,VLOOKUP(AZ9,Dropdown!$U$2:$V$6,2,FALSE))</f>
        <v>0</v>
      </c>
      <c r="BB9" s="20"/>
      <c r="BC9" s="10">
        <f>IF(BB9="",0,VLOOKUP(BB9,Dropdown!$U$2:$V$6,2,FALSE))</f>
        <v>0</v>
      </c>
      <c r="BD9" s="20"/>
      <c r="BE9" s="10">
        <f>IF(BD9="",0,VLOOKUP(BD9,Dropdown!$U$2:$V$6,2,FALSE))</f>
        <v>0</v>
      </c>
    </row>
    <row r="10" spans="1:57" ht="14.4" customHeight="1" x14ac:dyDescent="0.3">
      <c r="A10" s="32" t="s">
        <v>33</v>
      </c>
      <c r="B10" s="10">
        <f>VLOOKUP(A10,Vulnerabilty!$B$3:$C$56,2,FALSE)</f>
        <v>0</v>
      </c>
      <c r="C10" s="10"/>
      <c r="D10" s="10"/>
      <c r="E10" s="20" t="s">
        <v>113</v>
      </c>
      <c r="F10" s="10">
        <f>IF(E10=0,0,VLOOKUP(E10,Dropdown!$A$1:$B$7,2,FALSE))</f>
        <v>0</v>
      </c>
      <c r="G10" s="20" t="s">
        <v>114</v>
      </c>
      <c r="H10" s="10">
        <f>IF(G10=0,0,VLOOKUP(G10,Dropdown!$C$2:$D$7,2,FALSE))</f>
        <v>0</v>
      </c>
      <c r="I10" s="20" t="s">
        <v>107</v>
      </c>
      <c r="J10" s="10" t="e">
        <f>IF('Hazard information'!I10=0,0,VLOOKUP(I10,Dropdown!$K$2:$L$7,2,FALSE))</f>
        <v>#N/A</v>
      </c>
      <c r="K10" s="20" t="s">
        <v>107</v>
      </c>
      <c r="L10" s="10" t="e">
        <f>IF(K10=0,0,VLOOKUP(K10,Dropdown!$E$2:$F$7,2,FALSE))</f>
        <v>#N/A</v>
      </c>
      <c r="M10" s="20" t="s">
        <v>108</v>
      </c>
      <c r="N10" s="10">
        <f>IF(M10=0,0,VLOOKUP(M10,Dropdown!$G$2:$H$7,2,FALSE))</f>
        <v>0</v>
      </c>
      <c r="O10" s="20" t="s">
        <v>109</v>
      </c>
      <c r="P10" s="10">
        <f>IF('Hazard information'!O10=0,0,VLOOKUP(O10,Dropdown!$I$1:$J$7,2,FALSE))</f>
        <v>0</v>
      </c>
      <c r="Q10" s="20" t="s">
        <v>110</v>
      </c>
      <c r="R10" s="10">
        <f>IF(Q10=0,0,VLOOKUP(Q10,Dropdown!$M$2:$N$7,2,FALSE))</f>
        <v>0</v>
      </c>
      <c r="S10" s="20" t="s">
        <v>111</v>
      </c>
      <c r="T10" s="10">
        <f>IF(S10=0,0,VLOOKUP(S10,Dropdown!$O$2:$P$7,2,FALSE))</f>
        <v>0</v>
      </c>
      <c r="U10" s="20" t="s">
        <v>108</v>
      </c>
      <c r="V10" s="10">
        <f>IF(U10=0,0,VLOOKUP(U10,Dropdown!$Q$2:$R$7,2,FALSE))</f>
        <v>0</v>
      </c>
      <c r="W10" s="20" t="s">
        <v>112</v>
      </c>
      <c r="X10" s="10">
        <f>IF(W10=0,0,VLOOKUP(W10,Dropdown!$S$2:$T$7,2,FALSE))</f>
        <v>0</v>
      </c>
      <c r="Y10" s="20"/>
      <c r="Z10" s="10">
        <f>IF(Y10=0,0,VLOOKUP(Y10,Dropdown!$U$2:$V$6,2,FALSE))</f>
        <v>0</v>
      </c>
      <c r="AA10" s="20"/>
      <c r="AB10" s="10">
        <f>IF(AA10=0,0,VLOOKUP(AA10,Dropdown!$U$2:$V$6,2,FALSE))</f>
        <v>0</v>
      </c>
      <c r="AC10" s="20"/>
      <c r="AD10" s="10">
        <f>IF(AC10=0,0,VLOOKUP(AC10,Dropdown!$U$2:$V$6,2,FALSE))</f>
        <v>0</v>
      </c>
      <c r="AE10" s="20"/>
      <c r="AF10" s="10">
        <f>IF(AE10=0,0,VLOOKUP(AE10,Dropdown!$U$2:$V$6,2,FALSE))</f>
        <v>0</v>
      </c>
      <c r="AG10" s="20"/>
      <c r="AH10" s="10">
        <f>IF(AG10=0,0,VLOOKUP(AG10,Dropdown!$U$2:$V$6,2,FALSE))</f>
        <v>0</v>
      </c>
      <c r="AI10" s="20"/>
      <c r="AJ10" s="10">
        <f>IF(AI10=0,0,VLOOKUP(AI10,Dropdown!$U$2:$V$6,2,FALSE))</f>
        <v>0</v>
      </c>
      <c r="AK10" s="20"/>
      <c r="AL10" s="10">
        <f>IF(AK10=0,0,VLOOKUP(AK10,Dropdown!$U$2:$V$6,2,FALSE))</f>
        <v>0</v>
      </c>
      <c r="AM10" s="20"/>
      <c r="AN10" s="10">
        <f>IF(AM10=0,0,VLOOKUP(AM10,Dropdown!$U$2:$V$6,2,FALSE))</f>
        <v>0</v>
      </c>
      <c r="AO10" s="20"/>
      <c r="AP10" s="20"/>
      <c r="AQ10" s="10">
        <f>IF(AP10="",0,VLOOKUP(AP10,Dropdown!$U$2:$V$6,2,FALSE))</f>
        <v>0</v>
      </c>
      <c r="AR10" s="20"/>
      <c r="AS10" s="10">
        <f>IF(AR10="",0,VLOOKUP(AR10,Dropdown!$U$2:$V$6,2,FALSE))</f>
        <v>0</v>
      </c>
      <c r="AT10" s="20"/>
      <c r="AU10" s="10">
        <f>IF(AT10="",0,VLOOKUP(AT10,Dropdown!$U$2:$V$6,2,FALSE))</f>
        <v>0</v>
      </c>
      <c r="AV10" s="20"/>
      <c r="AW10" s="10">
        <f>IF(AV10="",0,VLOOKUP(AV10,Dropdown!$U$2:$V$6,2,FALSE))</f>
        <v>0</v>
      </c>
      <c r="AX10" s="20"/>
      <c r="AY10" s="10">
        <f>IF(AX10="",0,VLOOKUP(AX10,Dropdown!$U$2:$V$6,2,FALSE))</f>
        <v>0</v>
      </c>
      <c r="AZ10" s="20"/>
      <c r="BA10" s="10">
        <f>IF(AZ10="",0,VLOOKUP(AZ10,Dropdown!$U$2:$V$6,2,FALSE))</f>
        <v>0</v>
      </c>
      <c r="BB10" s="20"/>
      <c r="BC10" s="10">
        <f>IF(BB10="",0,VLOOKUP(BB10,Dropdown!$U$2:$V$6,2,FALSE))</f>
        <v>0</v>
      </c>
      <c r="BD10" s="20"/>
      <c r="BE10" s="10">
        <f>IF(BD10="",0,VLOOKUP(BD10,Dropdown!$U$2:$V$6,2,FALSE))</f>
        <v>0</v>
      </c>
    </row>
    <row r="11" spans="1:57" ht="14.4" customHeight="1" x14ac:dyDescent="0.3">
      <c r="A11" s="32" t="s">
        <v>34</v>
      </c>
      <c r="B11" s="10">
        <f>VLOOKUP(A11,Vulnerabilty!$B$3:$C$56,2,FALSE)</f>
        <v>0</v>
      </c>
      <c r="C11" s="10"/>
      <c r="D11" s="10"/>
      <c r="E11" s="20" t="s">
        <v>113</v>
      </c>
      <c r="F11" s="10">
        <f>IF(E11=0,0,VLOOKUP(E11,Dropdown!$A$1:$B$7,2,FALSE))</f>
        <v>0</v>
      </c>
      <c r="G11" s="20" t="s">
        <v>114</v>
      </c>
      <c r="H11" s="10">
        <f>IF(G11=0,0,VLOOKUP(G11,Dropdown!$C$2:$D$7,2,FALSE))</f>
        <v>0</v>
      </c>
      <c r="I11" s="20" t="s">
        <v>107</v>
      </c>
      <c r="J11" s="10" t="e">
        <f>IF('Hazard information'!I11=0,0,VLOOKUP(I11,Dropdown!$K$2:$L$7,2,FALSE))</f>
        <v>#N/A</v>
      </c>
      <c r="K11" s="20" t="s">
        <v>107</v>
      </c>
      <c r="L11" s="10" t="e">
        <f>IF(K11=0,0,VLOOKUP(K11,Dropdown!$E$2:$F$7,2,FALSE))</f>
        <v>#N/A</v>
      </c>
      <c r="M11" s="20" t="s">
        <v>108</v>
      </c>
      <c r="N11" s="10">
        <f>IF(M11=0,0,VLOOKUP(M11,Dropdown!$G$2:$H$7,2,FALSE))</f>
        <v>0</v>
      </c>
      <c r="O11" s="20" t="s">
        <v>109</v>
      </c>
      <c r="P11" s="10">
        <f>IF('Hazard information'!O11=0,0,VLOOKUP(O11,Dropdown!$I$1:$J$7,2,FALSE))</f>
        <v>0</v>
      </c>
      <c r="Q11" s="20" t="s">
        <v>110</v>
      </c>
      <c r="R11" s="10">
        <f>IF(Q11=0,0,VLOOKUP(Q11,Dropdown!$M$2:$N$7,2,FALSE))</f>
        <v>0</v>
      </c>
      <c r="S11" s="20" t="s">
        <v>111</v>
      </c>
      <c r="T11" s="10">
        <f>IF(S11=0,0,VLOOKUP(S11,Dropdown!$O$2:$P$7,2,FALSE))</f>
        <v>0</v>
      </c>
      <c r="U11" s="20" t="s">
        <v>108</v>
      </c>
      <c r="V11" s="10">
        <f>IF(U11=0,0,VLOOKUP(U11,Dropdown!$Q$2:$R$7,2,FALSE))</f>
        <v>0</v>
      </c>
      <c r="W11" s="20" t="s">
        <v>112</v>
      </c>
      <c r="X11" s="10">
        <f>IF(W11=0,0,VLOOKUP(W11,Dropdown!$S$2:$T$7,2,FALSE))</f>
        <v>0</v>
      </c>
      <c r="Y11" s="20"/>
      <c r="Z11" s="10">
        <f>IF(Y11=0,0,VLOOKUP(Y11,Dropdown!$U$2:$V$6,2,FALSE))</f>
        <v>0</v>
      </c>
      <c r="AA11" s="20"/>
      <c r="AB11" s="10">
        <f>IF(AA11=0,0,VLOOKUP(AA11,Dropdown!$U$2:$V$6,2,FALSE))</f>
        <v>0</v>
      </c>
      <c r="AC11" s="20"/>
      <c r="AD11" s="10">
        <f>IF(AC11=0,0,VLOOKUP(AC11,Dropdown!$U$2:$V$6,2,FALSE))</f>
        <v>0</v>
      </c>
      <c r="AE11" s="20"/>
      <c r="AF11" s="10">
        <f>IF(AE11=0,0,VLOOKUP(AE11,Dropdown!$U$2:$V$6,2,FALSE))</f>
        <v>0</v>
      </c>
      <c r="AG11" s="20"/>
      <c r="AH11" s="10">
        <f>IF(AG11=0,0,VLOOKUP(AG11,Dropdown!$U$2:$V$6,2,FALSE))</f>
        <v>0</v>
      </c>
      <c r="AI11" s="20"/>
      <c r="AJ11" s="10">
        <f>IF(AI11=0,0,VLOOKUP(AI11,Dropdown!$U$2:$V$6,2,FALSE))</f>
        <v>0</v>
      </c>
      <c r="AK11" s="20"/>
      <c r="AL11" s="10">
        <f>IF(AK11=0,0,VLOOKUP(AK11,Dropdown!$U$2:$V$6,2,FALSE))</f>
        <v>0</v>
      </c>
      <c r="AM11" s="20"/>
      <c r="AN11" s="10">
        <f>IF(AM11=0,0,VLOOKUP(AM11,Dropdown!$U$2:$V$6,2,FALSE))</f>
        <v>0</v>
      </c>
      <c r="AO11" s="20"/>
      <c r="AP11" s="20"/>
      <c r="AQ11" s="10">
        <f>IF(AP11="",0,VLOOKUP(AP11,Dropdown!$U$2:$V$6,2,FALSE))</f>
        <v>0</v>
      </c>
      <c r="AR11" s="20"/>
      <c r="AS11" s="10">
        <f>IF(AR11="",0,VLOOKUP(AR11,Dropdown!$U$2:$V$6,2,FALSE))</f>
        <v>0</v>
      </c>
      <c r="AT11" s="20"/>
      <c r="AU11" s="10">
        <f>IF(AT11="",0,VLOOKUP(AT11,Dropdown!$U$2:$V$6,2,FALSE))</f>
        <v>0</v>
      </c>
      <c r="AV11" s="20"/>
      <c r="AW11" s="10">
        <f>IF(AV11="",0,VLOOKUP(AV11,Dropdown!$U$2:$V$6,2,FALSE))</f>
        <v>0</v>
      </c>
      <c r="AX11" s="20"/>
      <c r="AY11" s="10">
        <f>IF(AX11="",0,VLOOKUP(AX11,Dropdown!$U$2:$V$6,2,FALSE))</f>
        <v>0</v>
      </c>
      <c r="AZ11" s="20"/>
      <c r="BA11" s="10">
        <f>IF(AZ11="",0,VLOOKUP(AZ11,Dropdown!$U$2:$V$6,2,FALSE))</f>
        <v>0</v>
      </c>
      <c r="BB11" s="20"/>
      <c r="BC11" s="10">
        <f>IF(BB11="",0,VLOOKUP(BB11,Dropdown!$U$2:$V$6,2,FALSE))</f>
        <v>0</v>
      </c>
      <c r="BD11" s="20"/>
      <c r="BE11" s="10">
        <f>IF(BD11="",0,VLOOKUP(BD11,Dropdown!$U$2:$V$6,2,FALSE))</f>
        <v>0</v>
      </c>
    </row>
    <row r="12" spans="1:57" ht="14.4" customHeight="1" x14ac:dyDescent="0.3">
      <c r="A12" s="32" t="s">
        <v>35</v>
      </c>
      <c r="B12" s="10">
        <f>VLOOKUP(A12,Vulnerabilty!$B$3:$C$56,2,FALSE)</f>
        <v>0</v>
      </c>
      <c r="C12" s="10"/>
      <c r="D12" s="10"/>
      <c r="E12" s="20" t="s">
        <v>113</v>
      </c>
      <c r="F12" s="10">
        <f>IF(E12=0,0,VLOOKUP(E12,Dropdown!$A$1:$B$7,2,FALSE))</f>
        <v>0</v>
      </c>
      <c r="G12" s="20" t="s">
        <v>114</v>
      </c>
      <c r="H12" s="10">
        <f>IF(G12=0,0,VLOOKUP(G12,Dropdown!$C$2:$D$7,2,FALSE))</f>
        <v>0</v>
      </c>
      <c r="I12" s="20" t="s">
        <v>107</v>
      </c>
      <c r="J12" s="10" t="e">
        <f>IF('Hazard information'!I12=0,0,VLOOKUP(I12,Dropdown!$K$2:$L$7,2,FALSE))</f>
        <v>#N/A</v>
      </c>
      <c r="K12" s="20" t="s">
        <v>107</v>
      </c>
      <c r="L12" s="10" t="e">
        <f>IF(K12=0,0,VLOOKUP(K12,Dropdown!$E$2:$F$7,2,FALSE))</f>
        <v>#N/A</v>
      </c>
      <c r="M12" s="20" t="s">
        <v>108</v>
      </c>
      <c r="N12" s="10">
        <f>IF(M12=0,0,VLOOKUP(M12,Dropdown!$G$2:$H$7,2,FALSE))</f>
        <v>0</v>
      </c>
      <c r="O12" s="20" t="s">
        <v>109</v>
      </c>
      <c r="P12" s="10">
        <f>IF('Hazard information'!O12=0,0,VLOOKUP(O12,Dropdown!$I$1:$J$7,2,FALSE))</f>
        <v>0</v>
      </c>
      <c r="Q12" s="20" t="s">
        <v>110</v>
      </c>
      <c r="R12" s="10">
        <f>IF(Q12=0,0,VLOOKUP(Q12,Dropdown!$M$2:$N$7,2,FALSE))</f>
        <v>0</v>
      </c>
      <c r="S12" s="20" t="s">
        <v>111</v>
      </c>
      <c r="T12" s="10">
        <f>IF(S12=0,0,VLOOKUP(S12,Dropdown!$O$2:$P$7,2,FALSE))</f>
        <v>0</v>
      </c>
      <c r="U12" s="20" t="s">
        <v>108</v>
      </c>
      <c r="V12" s="10">
        <f>IF(U12=0,0,VLOOKUP(U12,Dropdown!$Q$2:$R$7,2,FALSE))</f>
        <v>0</v>
      </c>
      <c r="W12" s="20" t="s">
        <v>112</v>
      </c>
      <c r="X12" s="10">
        <f>IF(W12=0,0,VLOOKUP(W12,Dropdown!$S$2:$T$7,2,FALSE))</f>
        <v>0</v>
      </c>
      <c r="Y12" s="20"/>
      <c r="Z12" s="10">
        <f>IF(Y12=0,0,VLOOKUP(Y12,Dropdown!$U$2:$V$6,2,FALSE))</f>
        <v>0</v>
      </c>
      <c r="AA12" s="20"/>
      <c r="AB12" s="10">
        <f>IF(AA12=0,0,VLOOKUP(AA12,Dropdown!$U$2:$V$6,2,FALSE))</f>
        <v>0</v>
      </c>
      <c r="AC12" s="20"/>
      <c r="AD12" s="10">
        <f>IF(AC12=0,0,VLOOKUP(AC12,Dropdown!$U$2:$V$6,2,FALSE))</f>
        <v>0</v>
      </c>
      <c r="AE12" s="20"/>
      <c r="AF12" s="10">
        <f>IF(AE12=0,0,VLOOKUP(AE12,Dropdown!$U$2:$V$6,2,FALSE))</f>
        <v>0</v>
      </c>
      <c r="AG12" s="20"/>
      <c r="AH12" s="10">
        <f>IF(AG12=0,0,VLOOKUP(AG12,Dropdown!$U$2:$V$6,2,FALSE))</f>
        <v>0</v>
      </c>
      <c r="AI12" s="20"/>
      <c r="AJ12" s="10">
        <f>IF(AI12=0,0,VLOOKUP(AI12,Dropdown!$U$2:$V$6,2,FALSE))</f>
        <v>0</v>
      </c>
      <c r="AK12" s="20"/>
      <c r="AL12" s="10">
        <f>IF(AK12=0,0,VLOOKUP(AK12,Dropdown!$U$2:$V$6,2,FALSE))</f>
        <v>0</v>
      </c>
      <c r="AM12" s="20"/>
      <c r="AN12" s="10">
        <f>IF(AM12=0,0,VLOOKUP(AM12,Dropdown!$U$2:$V$6,2,FALSE))</f>
        <v>0</v>
      </c>
      <c r="AO12" s="20"/>
      <c r="AP12" s="20"/>
      <c r="AQ12" s="10">
        <f>IF(AP12="",0,VLOOKUP(AP12,Dropdown!$U$2:$V$6,2,FALSE))</f>
        <v>0</v>
      </c>
      <c r="AR12" s="20"/>
      <c r="AS12" s="10">
        <f>IF(AR12="",0,VLOOKUP(AR12,Dropdown!$U$2:$V$6,2,FALSE))</f>
        <v>0</v>
      </c>
      <c r="AT12" s="20"/>
      <c r="AU12" s="10">
        <f>IF(AT12="",0,VLOOKUP(AT12,Dropdown!$U$2:$V$6,2,FALSE))</f>
        <v>0</v>
      </c>
      <c r="AV12" s="20"/>
      <c r="AW12" s="10">
        <f>IF(AV12="",0,VLOOKUP(AV12,Dropdown!$U$2:$V$6,2,FALSE))</f>
        <v>0</v>
      </c>
      <c r="AX12" s="20"/>
      <c r="AY12" s="10">
        <f>IF(AX12="",0,VLOOKUP(AX12,Dropdown!$U$2:$V$6,2,FALSE))</f>
        <v>0</v>
      </c>
      <c r="AZ12" s="20"/>
      <c r="BA12" s="10">
        <f>IF(AZ12="",0,VLOOKUP(AZ12,Dropdown!$U$2:$V$6,2,FALSE))</f>
        <v>0</v>
      </c>
      <c r="BB12" s="20"/>
      <c r="BC12" s="10">
        <f>IF(BB12="",0,VLOOKUP(BB12,Dropdown!$U$2:$V$6,2,FALSE))</f>
        <v>0</v>
      </c>
      <c r="BD12" s="20"/>
      <c r="BE12" s="10">
        <f>IF(BD12="",0,VLOOKUP(BD12,Dropdown!$U$2:$V$6,2,FALSE))</f>
        <v>0</v>
      </c>
    </row>
    <row r="13" spans="1:57" x14ac:dyDescent="0.3">
      <c r="A13" s="32" t="s">
        <v>36</v>
      </c>
      <c r="B13" s="10">
        <f>VLOOKUP(A13,Vulnerabilty!$B$3:$C$56,2,FALSE)</f>
        <v>0</v>
      </c>
      <c r="C13" s="10"/>
      <c r="D13" s="10"/>
      <c r="E13" s="20" t="s">
        <v>113</v>
      </c>
      <c r="F13" s="10">
        <f>IF(E13=0,0,VLOOKUP(E13,Dropdown!$A$1:$B$7,2,FALSE))</f>
        <v>0</v>
      </c>
      <c r="G13" s="20" t="s">
        <v>114</v>
      </c>
      <c r="H13" s="10">
        <f>IF(G13=0,0,VLOOKUP(G13,Dropdown!$C$2:$D$7,2,FALSE))</f>
        <v>0</v>
      </c>
      <c r="I13" s="20" t="s">
        <v>107</v>
      </c>
      <c r="J13" s="10" t="e">
        <f>IF('Hazard information'!I13=0,0,VLOOKUP(I13,Dropdown!$K$2:$L$7,2,FALSE))</f>
        <v>#N/A</v>
      </c>
      <c r="K13" s="20" t="s">
        <v>107</v>
      </c>
      <c r="L13" s="10" t="e">
        <f>IF(K13=0,0,VLOOKUP(K13,Dropdown!$E$2:$F$7,2,FALSE))</f>
        <v>#N/A</v>
      </c>
      <c r="M13" s="20" t="s">
        <v>108</v>
      </c>
      <c r="N13" s="10">
        <f>IF(M13=0,0,VLOOKUP(M13,Dropdown!$G$2:$H$7,2,FALSE))</f>
        <v>0</v>
      </c>
      <c r="O13" s="20" t="s">
        <v>109</v>
      </c>
      <c r="P13" s="10">
        <f>IF('Hazard information'!O13=0,0,VLOOKUP(O13,Dropdown!$I$1:$J$7,2,FALSE))</f>
        <v>0</v>
      </c>
      <c r="Q13" s="20" t="s">
        <v>110</v>
      </c>
      <c r="R13" s="10">
        <f>IF(Q13=0,0,VLOOKUP(Q13,Dropdown!$M$2:$N$7,2,FALSE))</f>
        <v>0</v>
      </c>
      <c r="S13" s="20" t="s">
        <v>111</v>
      </c>
      <c r="T13" s="10">
        <f>IF(S13=0,0,VLOOKUP(S13,Dropdown!$O$2:$P$7,2,FALSE))</f>
        <v>0</v>
      </c>
      <c r="U13" s="20" t="s">
        <v>108</v>
      </c>
      <c r="V13" s="10">
        <f>IF(U13=0,0,VLOOKUP(U13,Dropdown!$Q$2:$R$7,2,FALSE))</f>
        <v>0</v>
      </c>
      <c r="W13" s="20" t="s">
        <v>112</v>
      </c>
      <c r="X13" s="10">
        <f>IF(W13=0,0,VLOOKUP(W13,Dropdown!$S$2:$T$7,2,FALSE))</f>
        <v>0</v>
      </c>
      <c r="Y13" s="20"/>
      <c r="Z13" s="10">
        <f>IF(Y13=0,0,VLOOKUP(Y13,Dropdown!$U$2:$V$6,2,FALSE))</f>
        <v>0</v>
      </c>
      <c r="AA13" s="20"/>
      <c r="AB13" s="10">
        <f>IF(AA13=0,0,VLOOKUP(AA13,Dropdown!$U$2:$V$6,2,FALSE))</f>
        <v>0</v>
      </c>
      <c r="AC13" s="20"/>
      <c r="AD13" s="10">
        <f>IF(AC13=0,0,VLOOKUP(AC13,Dropdown!$U$2:$V$6,2,FALSE))</f>
        <v>0</v>
      </c>
      <c r="AE13" s="20"/>
      <c r="AF13" s="10">
        <f>IF(AE13=0,0,VLOOKUP(AE13,Dropdown!$U$2:$V$6,2,FALSE))</f>
        <v>0</v>
      </c>
      <c r="AG13" s="20"/>
      <c r="AH13" s="10">
        <f>IF(AG13=0,0,VLOOKUP(AG13,Dropdown!$U$2:$V$6,2,FALSE))</f>
        <v>0</v>
      </c>
      <c r="AI13" s="20"/>
      <c r="AJ13" s="10">
        <f>IF(AI13=0,0,VLOOKUP(AI13,Dropdown!$U$2:$V$6,2,FALSE))</f>
        <v>0</v>
      </c>
      <c r="AK13" s="20"/>
      <c r="AL13" s="10">
        <f>IF(AK13=0,0,VLOOKUP(AK13,Dropdown!$U$2:$V$6,2,FALSE))</f>
        <v>0</v>
      </c>
      <c r="AM13" s="20"/>
      <c r="AN13" s="10">
        <f>IF(AM13=0,0,VLOOKUP(AM13,Dropdown!$U$2:$V$6,2,FALSE))</f>
        <v>0</v>
      </c>
      <c r="AO13" s="20"/>
      <c r="AP13" s="20"/>
      <c r="AQ13" s="10">
        <f>IF(AP13="",0,VLOOKUP(AP13,Dropdown!$U$2:$V$6,2,FALSE))</f>
        <v>0</v>
      </c>
      <c r="AR13" s="20"/>
      <c r="AS13" s="10">
        <f>IF(AR13="",0,VLOOKUP(AR13,Dropdown!$U$2:$V$6,2,FALSE))</f>
        <v>0</v>
      </c>
      <c r="AT13" s="20"/>
      <c r="AU13" s="10">
        <f>IF(AT13="",0,VLOOKUP(AT13,Dropdown!$U$2:$V$6,2,FALSE))</f>
        <v>0</v>
      </c>
      <c r="AV13" s="20"/>
      <c r="AW13" s="10">
        <f>IF(AV13="",0,VLOOKUP(AV13,Dropdown!$U$2:$V$6,2,FALSE))</f>
        <v>0</v>
      </c>
      <c r="AX13" s="20"/>
      <c r="AY13" s="10">
        <f>IF(AX13="",0,VLOOKUP(AX13,Dropdown!$U$2:$V$6,2,FALSE))</f>
        <v>0</v>
      </c>
      <c r="AZ13" s="20"/>
      <c r="BA13" s="10">
        <f>IF(AZ13="",0,VLOOKUP(AZ13,Dropdown!$U$2:$V$6,2,FALSE))</f>
        <v>0</v>
      </c>
      <c r="BB13" s="20"/>
      <c r="BC13" s="10">
        <f>IF(BB13="",0,VLOOKUP(BB13,Dropdown!$U$2:$V$6,2,FALSE))</f>
        <v>0</v>
      </c>
      <c r="BD13" s="20"/>
      <c r="BE13" s="10">
        <f>IF(BD13="",0,VLOOKUP(BD13,Dropdown!$U$2:$V$6,2,FALSE))</f>
        <v>0</v>
      </c>
    </row>
    <row r="14" spans="1:57" ht="14.4" customHeight="1" x14ac:dyDescent="0.3">
      <c r="A14" s="32" t="s">
        <v>37</v>
      </c>
      <c r="B14" s="10">
        <f>VLOOKUP(A14,Vulnerabilty!$B$3:$C$56,2,FALSE)</f>
        <v>0</v>
      </c>
      <c r="C14" s="10"/>
      <c r="D14" s="40"/>
      <c r="E14" s="20" t="s">
        <v>113</v>
      </c>
      <c r="F14" s="10">
        <f>IF(E14=0,0,VLOOKUP(E14,Dropdown!$A$1:$B$7,2,FALSE))</f>
        <v>0</v>
      </c>
      <c r="G14" s="20" t="s">
        <v>114</v>
      </c>
      <c r="H14" s="10">
        <f>IF(G14=0,0,VLOOKUP(G14,Dropdown!$C$2:$D$7,2,FALSE))</f>
        <v>0</v>
      </c>
      <c r="I14" s="20" t="s">
        <v>107</v>
      </c>
      <c r="J14" s="10" t="e">
        <f>IF('Hazard information'!I14=0,0,VLOOKUP(I14,Dropdown!$K$2:$L$7,2,FALSE))</f>
        <v>#N/A</v>
      </c>
      <c r="K14" s="20" t="s">
        <v>107</v>
      </c>
      <c r="L14" s="10" t="e">
        <f>IF(K14=0,0,VLOOKUP(K14,Dropdown!$E$2:$F$7,2,FALSE))</f>
        <v>#N/A</v>
      </c>
      <c r="M14" s="20" t="s">
        <v>108</v>
      </c>
      <c r="N14" s="10">
        <f>IF(M14=0,0,VLOOKUP(M14,Dropdown!$G$2:$H$7,2,FALSE))</f>
        <v>0</v>
      </c>
      <c r="O14" s="20" t="s">
        <v>109</v>
      </c>
      <c r="P14" s="10">
        <f>IF('Hazard information'!O14=0,0,VLOOKUP(O14,Dropdown!$I$1:$J$7,2,FALSE))</f>
        <v>0</v>
      </c>
      <c r="Q14" s="20" t="s">
        <v>110</v>
      </c>
      <c r="R14" s="10">
        <f>IF(Q14=0,0,VLOOKUP(Q14,Dropdown!$M$2:$N$7,2,FALSE))</f>
        <v>0</v>
      </c>
      <c r="S14" s="20" t="s">
        <v>111</v>
      </c>
      <c r="T14" s="10">
        <f>IF(S14=0,0,VLOOKUP(S14,Dropdown!$O$2:$P$7,2,FALSE))</f>
        <v>0</v>
      </c>
      <c r="U14" s="20" t="s">
        <v>108</v>
      </c>
      <c r="V14" s="10">
        <f>IF(U14=0,0,VLOOKUP(U14,Dropdown!$Q$2:$R$7,2,FALSE))</f>
        <v>0</v>
      </c>
      <c r="W14" s="20" t="s">
        <v>112</v>
      </c>
      <c r="X14" s="10">
        <f>IF(W14=0,0,VLOOKUP(W14,Dropdown!$S$2:$T$7,2,FALSE))</f>
        <v>0</v>
      </c>
      <c r="Y14" s="20"/>
      <c r="Z14" s="10">
        <f>IF(Y14=0,0,VLOOKUP(Y14,Dropdown!$U$2:$V$6,2,FALSE))</f>
        <v>0</v>
      </c>
      <c r="AA14" s="20"/>
      <c r="AB14" s="10">
        <f>IF(AA14=0,0,VLOOKUP(AA14,Dropdown!$U$2:$V$6,2,FALSE))</f>
        <v>0</v>
      </c>
      <c r="AC14" s="20"/>
      <c r="AD14" s="10">
        <f>IF(AC14=0,0,VLOOKUP(AC14,Dropdown!$U$2:$V$6,2,FALSE))</f>
        <v>0</v>
      </c>
      <c r="AE14" s="20"/>
      <c r="AF14" s="10">
        <f>IF(AE14=0,0,VLOOKUP(AE14,Dropdown!$U$2:$V$6,2,FALSE))</f>
        <v>0</v>
      </c>
      <c r="AG14" s="20"/>
      <c r="AH14" s="10">
        <f>IF(AG14=0,0,VLOOKUP(AG14,Dropdown!$U$2:$V$6,2,FALSE))</f>
        <v>0</v>
      </c>
      <c r="AI14" s="20"/>
      <c r="AJ14" s="10">
        <f>IF(AI14=0,0,VLOOKUP(AI14,Dropdown!$U$2:$V$6,2,FALSE))</f>
        <v>0</v>
      </c>
      <c r="AK14" s="20"/>
      <c r="AL14" s="10">
        <f>IF(AK14=0,0,VLOOKUP(AK14,Dropdown!$U$2:$V$6,2,FALSE))</f>
        <v>0</v>
      </c>
      <c r="AM14" s="20"/>
      <c r="AN14" s="10">
        <f>IF(AM14=0,0,VLOOKUP(AM14,Dropdown!$U$2:$V$6,2,FALSE))</f>
        <v>0</v>
      </c>
      <c r="AO14" s="20" t="s">
        <v>115</v>
      </c>
      <c r="AP14" s="20"/>
      <c r="AQ14" s="10">
        <f>IF(AP14="",0,VLOOKUP(AP14,Dropdown!$U$2:$V$6,2,FALSE))</f>
        <v>0</v>
      </c>
      <c r="AR14" s="20"/>
      <c r="AS14" s="10">
        <f>IF(AR14="",0,VLOOKUP(AR14,Dropdown!$U$2:$V$6,2,FALSE))</f>
        <v>0</v>
      </c>
      <c r="AT14" s="20"/>
      <c r="AU14" s="10">
        <f>IF(AT14="",0,VLOOKUP(AT14,Dropdown!$U$2:$V$6,2,FALSE))</f>
        <v>0</v>
      </c>
      <c r="AV14" s="20"/>
      <c r="AW14" s="10">
        <f>IF(AV14="",0,VLOOKUP(AV14,Dropdown!$U$2:$V$6,2,FALSE))</f>
        <v>0</v>
      </c>
      <c r="AX14" s="20"/>
      <c r="AY14" s="10">
        <f>IF(AX14="",0,VLOOKUP(AX14,Dropdown!$U$2:$V$6,2,FALSE))</f>
        <v>0</v>
      </c>
      <c r="AZ14" s="20"/>
      <c r="BA14" s="10">
        <f>IF(AZ14="",0,VLOOKUP(AZ14,Dropdown!$U$2:$V$6,2,FALSE))</f>
        <v>0</v>
      </c>
      <c r="BB14" s="20"/>
      <c r="BC14" s="10">
        <f>IF(BB14="",0,VLOOKUP(BB14,Dropdown!$U$2:$V$6,2,FALSE))</f>
        <v>0</v>
      </c>
      <c r="BD14" s="20"/>
      <c r="BE14" s="10">
        <f>IF(BD14="",0,VLOOKUP(BD14,Dropdown!$U$2:$V$6,2,FALSE))</f>
        <v>0</v>
      </c>
    </row>
    <row r="15" spans="1:57" ht="14.4" customHeight="1" x14ac:dyDescent="0.3">
      <c r="A15" s="32" t="s">
        <v>38</v>
      </c>
      <c r="B15" s="10">
        <f>VLOOKUP(A15,Vulnerabilty!$B$3:$C$56,2,FALSE)</f>
        <v>0</v>
      </c>
      <c r="C15" s="10"/>
      <c r="D15" s="10"/>
      <c r="E15" s="20" t="s">
        <v>113</v>
      </c>
      <c r="F15" s="10">
        <f>IF(E15=0,0,VLOOKUP(E15,Dropdown!$A$1:$B$7,2,FALSE))</f>
        <v>0</v>
      </c>
      <c r="G15" s="20" t="s">
        <v>114</v>
      </c>
      <c r="H15" s="10">
        <f>IF(G15=0,0,VLOOKUP(G15,Dropdown!$C$2:$D$7,2,FALSE))</f>
        <v>0</v>
      </c>
      <c r="I15" s="20" t="s">
        <v>107</v>
      </c>
      <c r="J15" s="10" t="e">
        <f>IF('Hazard information'!I15=0,0,VLOOKUP(I15,Dropdown!$K$2:$L$7,2,FALSE))</f>
        <v>#N/A</v>
      </c>
      <c r="K15" s="20" t="s">
        <v>107</v>
      </c>
      <c r="L15" s="10" t="e">
        <f>IF(K15=0,0,VLOOKUP(K15,Dropdown!$E$2:$F$7,2,FALSE))</f>
        <v>#N/A</v>
      </c>
      <c r="M15" s="20" t="s">
        <v>108</v>
      </c>
      <c r="N15" s="10">
        <f>IF(M15=0,0,VLOOKUP(M15,Dropdown!$G$2:$H$7,2,FALSE))</f>
        <v>0</v>
      </c>
      <c r="O15" s="20" t="s">
        <v>109</v>
      </c>
      <c r="P15" s="10">
        <f>IF('Hazard information'!O15=0,0,VLOOKUP(O15,Dropdown!$I$1:$J$7,2,FALSE))</f>
        <v>0</v>
      </c>
      <c r="Q15" s="20" t="s">
        <v>110</v>
      </c>
      <c r="R15" s="10">
        <f>IF(Q15=0,0,VLOOKUP(Q15,Dropdown!$M$2:$N$7,2,FALSE))</f>
        <v>0</v>
      </c>
      <c r="S15" s="20" t="s">
        <v>111</v>
      </c>
      <c r="T15" s="10">
        <f>IF(S15=0,0,VLOOKUP(S15,Dropdown!$O$2:$P$7,2,FALSE))</f>
        <v>0</v>
      </c>
      <c r="U15" s="20" t="s">
        <v>108</v>
      </c>
      <c r="V15" s="10">
        <f>IF(U15=0,0,VLOOKUP(U15,Dropdown!$Q$2:$R$7,2,FALSE))</f>
        <v>0</v>
      </c>
      <c r="W15" s="20" t="s">
        <v>112</v>
      </c>
      <c r="X15" s="10">
        <f>IF(W15=0,0,VLOOKUP(W15,Dropdown!$S$2:$T$7,2,FALSE))</f>
        <v>0</v>
      </c>
      <c r="Y15" s="20"/>
      <c r="Z15" s="10">
        <f>IF(Y15=0,0,VLOOKUP(Y15,Dropdown!$U$2:$V$6,2,FALSE))</f>
        <v>0</v>
      </c>
      <c r="AA15" s="20"/>
      <c r="AB15" s="10">
        <f>IF(AA15=0,0,VLOOKUP(AA15,Dropdown!$U$2:$V$6,2,FALSE))</f>
        <v>0</v>
      </c>
      <c r="AC15" s="20"/>
      <c r="AD15" s="10">
        <f>IF(AC15=0,0,VLOOKUP(AC15,Dropdown!$U$2:$V$6,2,FALSE))</f>
        <v>0</v>
      </c>
      <c r="AE15" s="20"/>
      <c r="AF15" s="10">
        <f>IF(AE15=0,0,VLOOKUP(AE15,Dropdown!$U$2:$V$6,2,FALSE))</f>
        <v>0</v>
      </c>
      <c r="AG15" s="20"/>
      <c r="AH15" s="10">
        <f>IF(AG15=0,0,VLOOKUP(AG15,Dropdown!$U$2:$V$6,2,FALSE))</f>
        <v>0</v>
      </c>
      <c r="AI15" s="20"/>
      <c r="AJ15" s="10">
        <f>IF(AI15=0,0,VLOOKUP(AI15,Dropdown!$U$2:$V$6,2,FALSE))</f>
        <v>0</v>
      </c>
      <c r="AK15" s="20"/>
      <c r="AL15" s="10">
        <f>IF(AK15=0,0,VLOOKUP(AK15,Dropdown!$U$2:$V$6,2,FALSE))</f>
        <v>0</v>
      </c>
      <c r="AM15" s="20"/>
      <c r="AN15" s="10">
        <f>IF(AM15=0,0,VLOOKUP(AM15,Dropdown!$U$2:$V$6,2,FALSE))</f>
        <v>0</v>
      </c>
      <c r="AO15" s="20"/>
      <c r="AP15" s="20"/>
      <c r="AQ15" s="10">
        <f>IF(AP15="",0,VLOOKUP(AP15,Dropdown!$U$2:$V$6,2,FALSE))</f>
        <v>0</v>
      </c>
      <c r="AR15" s="20"/>
      <c r="AS15" s="10">
        <f>IF(AR15="",0,VLOOKUP(AR15,Dropdown!$U$2:$V$6,2,FALSE))</f>
        <v>0</v>
      </c>
      <c r="AT15" s="20"/>
      <c r="AU15" s="10">
        <f>IF(AT15="",0,VLOOKUP(AT15,Dropdown!$U$2:$V$6,2,FALSE))</f>
        <v>0</v>
      </c>
      <c r="AV15" s="20"/>
      <c r="AW15" s="10">
        <f>IF(AV15="",0,VLOOKUP(AV15,Dropdown!$U$2:$V$6,2,FALSE))</f>
        <v>0</v>
      </c>
      <c r="AX15" s="20"/>
      <c r="AY15" s="10">
        <f>IF(AX15="",0,VLOOKUP(AX15,Dropdown!$U$2:$V$6,2,FALSE))</f>
        <v>0</v>
      </c>
      <c r="AZ15" s="20"/>
      <c r="BA15" s="10">
        <f>IF(AZ15="",0,VLOOKUP(AZ15,Dropdown!$U$2:$V$6,2,FALSE))</f>
        <v>0</v>
      </c>
      <c r="BB15" s="20"/>
      <c r="BC15" s="10">
        <f>IF(BB15="",0,VLOOKUP(BB15,Dropdown!$U$2:$V$6,2,FALSE))</f>
        <v>0</v>
      </c>
      <c r="BD15" s="20"/>
      <c r="BE15" s="10">
        <f>IF(BD15="",0,VLOOKUP(BD15,Dropdown!$U$2:$V$6,2,FALSE))</f>
        <v>0</v>
      </c>
    </row>
    <row r="16" spans="1:57" ht="28.95" customHeight="1" x14ac:dyDescent="0.3">
      <c r="A16" s="32" t="s">
        <v>39</v>
      </c>
      <c r="B16" s="10">
        <f>VLOOKUP(A16,Vulnerabilty!$B$3:$C$56,2,FALSE)</f>
        <v>0</v>
      </c>
      <c r="C16" s="10"/>
      <c r="D16" s="10"/>
      <c r="E16" s="20" t="s">
        <v>113</v>
      </c>
      <c r="F16" s="10">
        <f>IF(E16=0,0,VLOOKUP(E16,Dropdown!$A$1:$B$7,2,FALSE))</f>
        <v>0</v>
      </c>
      <c r="G16" s="20" t="s">
        <v>114</v>
      </c>
      <c r="H16" s="10">
        <f>IF(G16=0,0,VLOOKUP(G16,Dropdown!$C$2:$D$7,2,FALSE))</f>
        <v>0</v>
      </c>
      <c r="I16" s="20" t="s">
        <v>107</v>
      </c>
      <c r="J16" s="10" t="e">
        <f>IF('Hazard information'!I16=0,0,VLOOKUP(I16,Dropdown!$K$2:$L$7,2,FALSE))</f>
        <v>#N/A</v>
      </c>
      <c r="K16" s="20" t="s">
        <v>107</v>
      </c>
      <c r="L16" s="10" t="e">
        <f>IF(K16=0,0,VLOOKUP(K16,Dropdown!$E$2:$F$7,2,FALSE))</f>
        <v>#N/A</v>
      </c>
      <c r="M16" s="20" t="s">
        <v>108</v>
      </c>
      <c r="N16" s="10">
        <f>IF(M16=0,0,VLOOKUP(M16,Dropdown!$G$2:$H$7,2,FALSE))</f>
        <v>0</v>
      </c>
      <c r="O16" s="20" t="s">
        <v>109</v>
      </c>
      <c r="P16" s="10">
        <f>IF('Hazard information'!O16=0,0,VLOOKUP(O16,Dropdown!$I$1:$J$7,2,FALSE))</f>
        <v>0</v>
      </c>
      <c r="Q16" s="20" t="s">
        <v>110</v>
      </c>
      <c r="R16" s="10">
        <f>IF(Q16=0,0,VLOOKUP(Q16,Dropdown!$M$2:$N$7,2,FALSE))</f>
        <v>0</v>
      </c>
      <c r="S16" s="20" t="s">
        <v>111</v>
      </c>
      <c r="T16" s="10">
        <f>IF(S16=0,0,VLOOKUP(S16,Dropdown!$O$2:$P$7,2,FALSE))</f>
        <v>0</v>
      </c>
      <c r="U16" s="20" t="s">
        <v>108</v>
      </c>
      <c r="V16" s="10">
        <f>IF(U16=0,0,VLOOKUP(U16,Dropdown!$Q$2:$R$7,2,FALSE))</f>
        <v>0</v>
      </c>
      <c r="W16" s="20" t="s">
        <v>112</v>
      </c>
      <c r="X16" s="10">
        <f>IF(W16=0,0,VLOOKUP(W16,Dropdown!$S$2:$T$7,2,FALSE))</f>
        <v>0</v>
      </c>
      <c r="Y16" s="20"/>
      <c r="Z16" s="10">
        <f>IF(Y16=0,0,VLOOKUP(Y16,Dropdown!$U$2:$V$6,2,FALSE))</f>
        <v>0</v>
      </c>
      <c r="AA16" s="20"/>
      <c r="AB16" s="10">
        <f>IF(AA16=0,0,VLOOKUP(AA16,Dropdown!$U$2:$V$6,2,FALSE))</f>
        <v>0</v>
      </c>
      <c r="AC16" s="20"/>
      <c r="AD16" s="10">
        <f>IF(AC16=0,0,VLOOKUP(AC16,Dropdown!$U$2:$V$6,2,FALSE))</f>
        <v>0</v>
      </c>
      <c r="AE16" s="20"/>
      <c r="AF16" s="10">
        <f>IF(AE16=0,0,VLOOKUP(AE16,Dropdown!$U$2:$V$6,2,FALSE))</f>
        <v>0</v>
      </c>
      <c r="AG16" s="20"/>
      <c r="AH16" s="10">
        <f>IF(AG16=0,0,VLOOKUP(AG16,Dropdown!$U$2:$V$6,2,FALSE))</f>
        <v>0</v>
      </c>
      <c r="AI16" s="20"/>
      <c r="AJ16" s="10">
        <f>IF(AI16=0,0,VLOOKUP(AI16,Dropdown!$U$2:$V$6,2,FALSE))</f>
        <v>0</v>
      </c>
      <c r="AK16" s="20"/>
      <c r="AL16" s="10">
        <f>IF(AK16=0,0,VLOOKUP(AK16,Dropdown!$U$2:$V$6,2,FALSE))</f>
        <v>0</v>
      </c>
      <c r="AM16" s="20"/>
      <c r="AN16" s="10">
        <f>IF(AM16=0,0,VLOOKUP(AM16,Dropdown!$U$2:$V$6,2,FALSE))</f>
        <v>0</v>
      </c>
      <c r="AO16" s="20"/>
      <c r="AP16" s="20"/>
      <c r="AQ16" s="10">
        <f>IF(AP16="",0,VLOOKUP(AP16,Dropdown!$U$2:$V$6,2,FALSE))</f>
        <v>0</v>
      </c>
      <c r="AR16" s="20"/>
      <c r="AS16" s="10">
        <f>IF(AR16="",0,VLOOKUP(AR16,Dropdown!$U$2:$V$6,2,FALSE))</f>
        <v>0</v>
      </c>
      <c r="AT16" s="20"/>
      <c r="AU16" s="10">
        <f>IF(AT16="",0,VLOOKUP(AT16,Dropdown!$U$2:$V$6,2,FALSE))</f>
        <v>0</v>
      </c>
      <c r="AV16" s="20"/>
      <c r="AW16" s="10">
        <f>IF(AV16="",0,VLOOKUP(AV16,Dropdown!$U$2:$V$6,2,FALSE))</f>
        <v>0</v>
      </c>
      <c r="AX16" s="20"/>
      <c r="AY16" s="10">
        <f>IF(AX16="",0,VLOOKUP(AX16,Dropdown!$U$2:$V$6,2,FALSE))</f>
        <v>0</v>
      </c>
      <c r="AZ16" s="20"/>
      <c r="BA16" s="10">
        <f>IF(AZ16="",0,VLOOKUP(AZ16,Dropdown!$U$2:$V$6,2,FALSE))</f>
        <v>0</v>
      </c>
      <c r="BB16" s="20"/>
      <c r="BC16" s="10">
        <f>IF(BB16="",0,VLOOKUP(BB16,Dropdown!$U$2:$V$6,2,FALSE))</f>
        <v>0</v>
      </c>
      <c r="BD16" s="20"/>
      <c r="BE16" s="10">
        <f>IF(BD16="",0,VLOOKUP(BD16,Dropdown!$U$2:$V$6,2,FALSE))</f>
        <v>0</v>
      </c>
    </row>
    <row r="17" spans="1:57" ht="14.4" customHeight="1" x14ac:dyDescent="0.3">
      <c r="A17" s="32" t="s">
        <v>40</v>
      </c>
      <c r="B17" s="10">
        <f>VLOOKUP(A17,Vulnerabilty!$B$3:$C$56,2,FALSE)</f>
        <v>0</v>
      </c>
      <c r="C17" s="10"/>
      <c r="D17" s="40"/>
      <c r="E17" s="20" t="s">
        <v>113</v>
      </c>
      <c r="F17" s="10">
        <f>IF(E17=0,0,VLOOKUP(E17,Dropdown!$A$1:$B$7,2,FALSE))</f>
        <v>0</v>
      </c>
      <c r="G17" s="20" t="s">
        <v>114</v>
      </c>
      <c r="H17" s="10">
        <f>IF(G17=0,0,VLOOKUP(G17,Dropdown!$C$2:$D$7,2,FALSE))</f>
        <v>0</v>
      </c>
      <c r="I17" s="20" t="s">
        <v>107</v>
      </c>
      <c r="J17" s="10" t="e">
        <f>IF('Hazard information'!I17=0,0,VLOOKUP(I17,Dropdown!$K$2:$L$7,2,FALSE))</f>
        <v>#N/A</v>
      </c>
      <c r="K17" s="20" t="s">
        <v>107</v>
      </c>
      <c r="L17" s="10" t="e">
        <f>IF(K17=0,0,VLOOKUP(K17,Dropdown!$E$2:$F$7,2,FALSE))</f>
        <v>#N/A</v>
      </c>
      <c r="M17" s="20" t="s">
        <v>108</v>
      </c>
      <c r="N17" s="10">
        <f>IF(M17=0,0,VLOOKUP(M17,Dropdown!$G$2:$H$7,2,FALSE))</f>
        <v>0</v>
      </c>
      <c r="O17" s="20" t="s">
        <v>109</v>
      </c>
      <c r="P17" s="10">
        <f>IF('Hazard information'!O17=0,0,VLOOKUP(O17,Dropdown!$I$1:$J$7,2,FALSE))</f>
        <v>0</v>
      </c>
      <c r="Q17" s="20" t="s">
        <v>110</v>
      </c>
      <c r="R17" s="10">
        <f>IF(Q17=0,0,VLOOKUP(Q17,Dropdown!$M$2:$N$7,2,FALSE))</f>
        <v>0</v>
      </c>
      <c r="S17" s="20" t="s">
        <v>111</v>
      </c>
      <c r="T17" s="10">
        <f>IF(S17=0,0,VLOOKUP(S17,Dropdown!$O$2:$P$7,2,FALSE))</f>
        <v>0</v>
      </c>
      <c r="U17" s="20" t="s">
        <v>108</v>
      </c>
      <c r="V17" s="10">
        <f>IF(U17=0,0,VLOOKUP(U17,Dropdown!$Q$2:$R$7,2,FALSE))</f>
        <v>0</v>
      </c>
      <c r="W17" s="20" t="s">
        <v>112</v>
      </c>
      <c r="X17" s="10">
        <f>IF(W17=0,0,VLOOKUP(W17,Dropdown!$S$2:$T$7,2,FALSE))</f>
        <v>0</v>
      </c>
      <c r="Y17" s="20"/>
      <c r="Z17" s="10">
        <f>IF(Y17=0,0,VLOOKUP(Y17,Dropdown!$U$2:$V$6,2,FALSE))</f>
        <v>0</v>
      </c>
      <c r="AA17" s="20"/>
      <c r="AB17" s="10">
        <f>IF(AA17=0,0,VLOOKUP(AA17,Dropdown!$U$2:$V$6,2,FALSE))</f>
        <v>0</v>
      </c>
      <c r="AC17" s="20"/>
      <c r="AD17" s="10">
        <f>IF(AC17=0,0,VLOOKUP(AC17,Dropdown!$U$2:$V$6,2,FALSE))</f>
        <v>0</v>
      </c>
      <c r="AE17" s="20"/>
      <c r="AF17" s="10">
        <f>IF(AE17=0,0,VLOOKUP(AE17,Dropdown!$U$2:$V$6,2,FALSE))</f>
        <v>0</v>
      </c>
      <c r="AG17" s="20"/>
      <c r="AH17" s="10">
        <f>IF(AG17=0,0,VLOOKUP(AG17,Dropdown!$U$2:$V$6,2,FALSE))</f>
        <v>0</v>
      </c>
      <c r="AI17" s="20"/>
      <c r="AJ17" s="10">
        <f>IF(AI17=0,0,VLOOKUP(AI17,Dropdown!$U$2:$V$6,2,FALSE))</f>
        <v>0</v>
      </c>
      <c r="AK17" s="20"/>
      <c r="AL17" s="10">
        <f>IF(AK17=0,0,VLOOKUP(AK17,Dropdown!$U$2:$V$6,2,FALSE))</f>
        <v>0</v>
      </c>
      <c r="AM17" s="20"/>
      <c r="AN17" s="10">
        <f>IF(AM17=0,0,VLOOKUP(AM17,Dropdown!$U$2:$V$6,2,FALSE))</f>
        <v>0</v>
      </c>
      <c r="AO17" s="20"/>
      <c r="AP17" s="20"/>
      <c r="AQ17" s="10">
        <f>IF(AP17="",0,VLOOKUP(AP17,Dropdown!$U$2:$V$6,2,FALSE))</f>
        <v>0</v>
      </c>
      <c r="AR17" s="20"/>
      <c r="AS17" s="10">
        <f>IF(AR17="",0,VLOOKUP(AR17,Dropdown!$U$2:$V$6,2,FALSE))</f>
        <v>0</v>
      </c>
      <c r="AT17" s="20"/>
      <c r="AU17" s="10">
        <f>IF(AT17="",0,VLOOKUP(AT17,Dropdown!$U$2:$V$6,2,FALSE))</f>
        <v>0</v>
      </c>
      <c r="AV17" s="20"/>
      <c r="AW17" s="10">
        <f>IF(AV17="",0,VLOOKUP(AV17,Dropdown!$U$2:$V$6,2,FALSE))</f>
        <v>0</v>
      </c>
      <c r="AX17" s="20"/>
      <c r="AY17" s="10">
        <f>IF(AX17="",0,VLOOKUP(AX17,Dropdown!$U$2:$V$6,2,FALSE))</f>
        <v>0</v>
      </c>
      <c r="AZ17" s="20"/>
      <c r="BA17" s="10">
        <f>IF(AZ17="",0,VLOOKUP(AZ17,Dropdown!$U$2:$V$6,2,FALSE))</f>
        <v>0</v>
      </c>
      <c r="BB17" s="20"/>
      <c r="BC17" s="10">
        <f>IF(BB17="",0,VLOOKUP(BB17,Dropdown!$U$2:$V$6,2,FALSE))</f>
        <v>0</v>
      </c>
      <c r="BD17" s="20"/>
      <c r="BE17" s="10">
        <f>IF(BD17="",0,VLOOKUP(BD17,Dropdown!$U$2:$V$6,2,FALSE))</f>
        <v>0</v>
      </c>
    </row>
    <row r="18" spans="1:57" ht="14.4" customHeight="1" x14ac:dyDescent="0.3">
      <c r="A18" s="32" t="s">
        <v>41</v>
      </c>
      <c r="B18" s="10">
        <f>VLOOKUP(A18,Vulnerabilty!$B$3:$C$56,2,FALSE)</f>
        <v>0</v>
      </c>
      <c r="C18" s="10"/>
      <c r="D18" s="10"/>
      <c r="E18" s="20" t="s">
        <v>113</v>
      </c>
      <c r="F18" s="10">
        <f>IF(E18=0,0,VLOOKUP(E18,Dropdown!$A$1:$B$7,2,FALSE))</f>
        <v>0</v>
      </c>
      <c r="G18" s="20" t="s">
        <v>114</v>
      </c>
      <c r="H18" s="10">
        <f>IF(G18=0,0,VLOOKUP(G18,Dropdown!$C$2:$D$7,2,FALSE))</f>
        <v>0</v>
      </c>
      <c r="I18" s="20" t="s">
        <v>107</v>
      </c>
      <c r="J18" s="10" t="e">
        <f>IF('Hazard information'!I18=0,0,VLOOKUP(I18,Dropdown!$K$2:$L$7,2,FALSE))</f>
        <v>#N/A</v>
      </c>
      <c r="K18" s="20" t="s">
        <v>107</v>
      </c>
      <c r="L18" s="10" t="e">
        <f>IF(K18=0,0,VLOOKUP(K18,Dropdown!$E$2:$F$7,2,FALSE))</f>
        <v>#N/A</v>
      </c>
      <c r="M18" s="20" t="s">
        <v>108</v>
      </c>
      <c r="N18" s="10">
        <f>IF(M18=0,0,VLOOKUP(M18,Dropdown!$G$2:$H$7,2,FALSE))</f>
        <v>0</v>
      </c>
      <c r="O18" s="20" t="s">
        <v>109</v>
      </c>
      <c r="P18" s="10">
        <f>IF('Hazard information'!O18=0,0,VLOOKUP(O18,Dropdown!$I$1:$J$7,2,FALSE))</f>
        <v>0</v>
      </c>
      <c r="Q18" s="20" t="s">
        <v>110</v>
      </c>
      <c r="R18" s="10">
        <f>IF(Q18=0,0,VLOOKUP(Q18,Dropdown!$M$2:$N$7,2,FALSE))</f>
        <v>0</v>
      </c>
      <c r="S18" s="20" t="s">
        <v>111</v>
      </c>
      <c r="T18" s="10">
        <f>IF(S18=0,0,VLOOKUP(S18,Dropdown!$O$2:$P$7,2,FALSE))</f>
        <v>0</v>
      </c>
      <c r="U18" s="20" t="s">
        <v>108</v>
      </c>
      <c r="V18" s="10">
        <f>IF(U18=0,0,VLOOKUP(U18,Dropdown!$Q$2:$R$7,2,FALSE))</f>
        <v>0</v>
      </c>
      <c r="W18" s="20" t="s">
        <v>112</v>
      </c>
      <c r="X18" s="10">
        <f>IF(W18=0,0,VLOOKUP(W18,Dropdown!$S$2:$T$7,2,FALSE))</f>
        <v>0</v>
      </c>
      <c r="Y18" s="20"/>
      <c r="Z18" s="10">
        <f>IF(Y18=0,0,VLOOKUP(Y18,Dropdown!$U$2:$V$6,2,FALSE))</f>
        <v>0</v>
      </c>
      <c r="AA18" s="20"/>
      <c r="AB18" s="10">
        <f>IF(AA18=0,0,VLOOKUP(AA18,Dropdown!$U$2:$V$6,2,FALSE))</f>
        <v>0</v>
      </c>
      <c r="AC18" s="20"/>
      <c r="AD18" s="10">
        <f>IF(AC18=0,0,VLOOKUP(AC18,Dropdown!$U$2:$V$6,2,FALSE))</f>
        <v>0</v>
      </c>
      <c r="AE18" s="20"/>
      <c r="AF18" s="10">
        <f>IF(AE18=0,0,VLOOKUP(AE18,Dropdown!$U$2:$V$6,2,FALSE))</f>
        <v>0</v>
      </c>
      <c r="AG18" s="20"/>
      <c r="AH18" s="10">
        <f>IF(AG18=0,0,VLOOKUP(AG18,Dropdown!$U$2:$V$6,2,FALSE))</f>
        <v>0</v>
      </c>
      <c r="AI18" s="20"/>
      <c r="AJ18" s="10">
        <f>IF(AI18=0,0,VLOOKUP(AI18,Dropdown!$U$2:$V$6,2,FALSE))</f>
        <v>0</v>
      </c>
      <c r="AK18" s="20"/>
      <c r="AL18" s="10">
        <f>IF(AK18=0,0,VLOOKUP(AK18,Dropdown!$U$2:$V$6,2,FALSE))</f>
        <v>0</v>
      </c>
      <c r="AM18" s="20"/>
      <c r="AN18" s="10">
        <f>IF(AM18=0,0,VLOOKUP(AM18,Dropdown!$U$2:$V$6,2,FALSE))</f>
        <v>0</v>
      </c>
      <c r="AO18" s="20"/>
      <c r="AP18" s="20"/>
      <c r="AQ18" s="10">
        <f>IF(AP18="",0,VLOOKUP(AP18,Dropdown!$U$2:$V$6,2,FALSE))</f>
        <v>0</v>
      </c>
      <c r="AR18" s="20"/>
      <c r="AS18" s="10">
        <f>IF(AR18="",0,VLOOKUP(AR18,Dropdown!$U$2:$V$6,2,FALSE))</f>
        <v>0</v>
      </c>
      <c r="AT18" s="20"/>
      <c r="AU18" s="10">
        <f>IF(AT18="",0,VLOOKUP(AT18,Dropdown!$U$2:$V$6,2,FALSE))</f>
        <v>0</v>
      </c>
      <c r="AV18" s="20"/>
      <c r="AW18" s="10">
        <f>IF(AV18="",0,VLOOKUP(AV18,Dropdown!$U$2:$V$6,2,FALSE))</f>
        <v>0</v>
      </c>
      <c r="AX18" s="20"/>
      <c r="AY18" s="10">
        <f>IF(AX18="",0,VLOOKUP(AX18,Dropdown!$U$2:$V$6,2,FALSE))</f>
        <v>0</v>
      </c>
      <c r="AZ18" s="20"/>
      <c r="BA18" s="10">
        <f>IF(AZ18="",0,VLOOKUP(AZ18,Dropdown!$U$2:$V$6,2,FALSE))</f>
        <v>0</v>
      </c>
      <c r="BB18" s="20"/>
      <c r="BC18" s="10">
        <f>IF(BB18="",0,VLOOKUP(BB18,Dropdown!$U$2:$V$6,2,FALSE))</f>
        <v>0</v>
      </c>
      <c r="BD18" s="20"/>
      <c r="BE18" s="10">
        <f>IF(BD18="",0,VLOOKUP(BD18,Dropdown!$U$2:$V$6,2,FALSE))</f>
        <v>0</v>
      </c>
    </row>
    <row r="19" spans="1:57" ht="14.4" customHeight="1" x14ac:dyDescent="0.3">
      <c r="A19" s="32" t="s">
        <v>42</v>
      </c>
      <c r="B19" s="10">
        <f>VLOOKUP(A19,Vulnerabilty!$B$3:$C$56,2,FALSE)</f>
        <v>0</v>
      </c>
      <c r="C19" s="10"/>
      <c r="D19" s="40"/>
      <c r="E19" s="20" t="s">
        <v>113</v>
      </c>
      <c r="F19" s="10">
        <f>IF(E19=0,0,VLOOKUP(E19,Dropdown!$A$1:$B$7,2,FALSE))</f>
        <v>0</v>
      </c>
      <c r="G19" s="20" t="s">
        <v>114</v>
      </c>
      <c r="H19" s="10">
        <f>IF(G19=0,0,VLOOKUP(G19,Dropdown!$C$2:$D$7,2,FALSE))</f>
        <v>0</v>
      </c>
      <c r="I19" s="20" t="s">
        <v>107</v>
      </c>
      <c r="J19" s="10" t="e">
        <f>IF('Hazard information'!I19=0,0,VLOOKUP(I19,Dropdown!$K$2:$L$7,2,FALSE))</f>
        <v>#N/A</v>
      </c>
      <c r="K19" s="20" t="s">
        <v>107</v>
      </c>
      <c r="L19" s="10" t="e">
        <f>IF(K19=0,0,VLOOKUP(K19,Dropdown!$E$2:$F$7,2,FALSE))</f>
        <v>#N/A</v>
      </c>
      <c r="M19" s="20" t="s">
        <v>108</v>
      </c>
      <c r="N19" s="10">
        <f>IF(M19=0,0,VLOOKUP(M19,Dropdown!$G$2:$H$7,2,FALSE))</f>
        <v>0</v>
      </c>
      <c r="O19" s="20" t="s">
        <v>109</v>
      </c>
      <c r="P19" s="10">
        <f>IF('Hazard information'!O19=0,0,VLOOKUP(O19,Dropdown!$I$1:$J$7,2,FALSE))</f>
        <v>0</v>
      </c>
      <c r="Q19" s="20" t="s">
        <v>110</v>
      </c>
      <c r="R19" s="10">
        <f>IF(Q19=0,0,VLOOKUP(Q19,Dropdown!$M$2:$N$7,2,FALSE))</f>
        <v>0</v>
      </c>
      <c r="S19" s="20" t="s">
        <v>111</v>
      </c>
      <c r="T19" s="10">
        <f>IF(S19=0,0,VLOOKUP(S19,Dropdown!$O$2:$P$7,2,FALSE))</f>
        <v>0</v>
      </c>
      <c r="U19" s="20" t="s">
        <v>108</v>
      </c>
      <c r="V19" s="10">
        <f>IF(U19=0,0,VLOOKUP(U19,Dropdown!$Q$2:$R$7,2,FALSE))</f>
        <v>0</v>
      </c>
      <c r="W19" s="20" t="s">
        <v>112</v>
      </c>
      <c r="X19" s="10">
        <f>IF(W19=0,0,VLOOKUP(W19,Dropdown!$S$2:$T$7,2,FALSE))</f>
        <v>0</v>
      </c>
      <c r="Y19" s="20"/>
      <c r="Z19" s="10">
        <f>IF(Y19=0,0,VLOOKUP(Y19,Dropdown!$U$2:$V$6,2,FALSE))</f>
        <v>0</v>
      </c>
      <c r="AA19" s="20"/>
      <c r="AB19" s="10">
        <f>IF(AA19=0,0,VLOOKUP(AA19,Dropdown!$U$2:$V$6,2,FALSE))</f>
        <v>0</v>
      </c>
      <c r="AC19" s="20"/>
      <c r="AD19" s="10">
        <f>IF(AC19=0,0,VLOOKUP(AC19,Dropdown!$U$2:$V$6,2,FALSE))</f>
        <v>0</v>
      </c>
      <c r="AE19" s="20"/>
      <c r="AF19" s="10">
        <f>IF(AE19=0,0,VLOOKUP(AE19,Dropdown!$U$2:$V$6,2,FALSE))</f>
        <v>0</v>
      </c>
      <c r="AG19" s="20"/>
      <c r="AH19" s="10">
        <f>IF(AG19=0,0,VLOOKUP(AG19,Dropdown!$U$2:$V$6,2,FALSE))</f>
        <v>0</v>
      </c>
      <c r="AI19" s="20"/>
      <c r="AJ19" s="10">
        <f>IF(AI19=0,0,VLOOKUP(AI19,Dropdown!$U$2:$V$6,2,FALSE))</f>
        <v>0</v>
      </c>
      <c r="AK19" s="20"/>
      <c r="AL19" s="10">
        <f>IF(AK19=0,0,VLOOKUP(AK19,Dropdown!$U$2:$V$6,2,FALSE))</f>
        <v>0</v>
      </c>
      <c r="AM19" s="20"/>
      <c r="AN19" s="10">
        <f>IF(AM19=0,0,VLOOKUP(AM19,Dropdown!$U$2:$V$6,2,FALSE))</f>
        <v>0</v>
      </c>
      <c r="AO19" s="20"/>
      <c r="AP19" s="20"/>
      <c r="AQ19" s="10">
        <f>IF(AP19="",0,VLOOKUP(AP19,Dropdown!$U$2:$V$6,2,FALSE))</f>
        <v>0</v>
      </c>
      <c r="AR19" s="20"/>
      <c r="AS19" s="10">
        <f>IF(AR19="",0,VLOOKUP(AR19,Dropdown!$U$2:$V$6,2,FALSE))</f>
        <v>0</v>
      </c>
      <c r="AT19" s="20"/>
      <c r="AU19" s="10">
        <f>IF(AT19="",0,VLOOKUP(AT19,Dropdown!$U$2:$V$6,2,FALSE))</f>
        <v>0</v>
      </c>
      <c r="AV19" s="20"/>
      <c r="AW19" s="10">
        <f>IF(AV19="",0,VLOOKUP(AV19,Dropdown!$U$2:$V$6,2,FALSE))</f>
        <v>0</v>
      </c>
      <c r="AX19" s="20"/>
      <c r="AY19" s="10">
        <f>IF(AX19="",0,VLOOKUP(AX19,Dropdown!$U$2:$V$6,2,FALSE))</f>
        <v>0</v>
      </c>
      <c r="AZ19" s="20"/>
      <c r="BA19" s="10">
        <f>IF(AZ19="",0,VLOOKUP(AZ19,Dropdown!$U$2:$V$6,2,FALSE))</f>
        <v>0</v>
      </c>
      <c r="BB19" s="20"/>
      <c r="BC19" s="10">
        <f>IF(BB19="",0,VLOOKUP(BB19,Dropdown!$U$2:$V$6,2,FALSE))</f>
        <v>0</v>
      </c>
      <c r="BD19" s="20"/>
      <c r="BE19" s="10">
        <f>IF(BD19="",0,VLOOKUP(BD19,Dropdown!$U$2:$V$6,2,FALSE))</f>
        <v>0</v>
      </c>
    </row>
    <row r="20" spans="1:57" ht="14.4" customHeight="1" x14ac:dyDescent="0.3">
      <c r="A20" s="32" t="s">
        <v>43</v>
      </c>
      <c r="B20" s="10">
        <f>VLOOKUP(A20,Vulnerabilty!$B$3:$C$56,2,FALSE)</f>
        <v>0</v>
      </c>
      <c r="C20" s="10"/>
      <c r="D20" s="10"/>
      <c r="E20" s="20" t="s">
        <v>113</v>
      </c>
      <c r="F20" s="10">
        <f>IF(E20=0,0,VLOOKUP(E20,Dropdown!$A$1:$B$7,2,FALSE))</f>
        <v>0</v>
      </c>
      <c r="G20" s="20" t="s">
        <v>114</v>
      </c>
      <c r="H20" s="10">
        <f>IF(G20=0,0,VLOOKUP(G20,Dropdown!$C$2:$D$7,2,FALSE))</f>
        <v>0</v>
      </c>
      <c r="I20" s="20" t="s">
        <v>107</v>
      </c>
      <c r="J20" s="10" t="e">
        <f>IF('Hazard information'!I20=0,0,VLOOKUP(I20,Dropdown!$K$2:$L$7,2,FALSE))</f>
        <v>#N/A</v>
      </c>
      <c r="K20" s="20" t="s">
        <v>107</v>
      </c>
      <c r="L20" s="10" t="e">
        <f>IF(K20=0,0,VLOOKUP(K20,Dropdown!$E$2:$F$7,2,FALSE))</f>
        <v>#N/A</v>
      </c>
      <c r="M20" s="20" t="s">
        <v>108</v>
      </c>
      <c r="N20" s="10">
        <f>IF(M20=0,0,VLOOKUP(M20,Dropdown!$G$2:$H$7,2,FALSE))</f>
        <v>0</v>
      </c>
      <c r="O20" s="20" t="s">
        <v>109</v>
      </c>
      <c r="P20" s="10">
        <f>IF('Hazard information'!O20=0,0,VLOOKUP(O20,Dropdown!$I$1:$J$7,2,FALSE))</f>
        <v>0</v>
      </c>
      <c r="Q20" s="20" t="s">
        <v>110</v>
      </c>
      <c r="R20" s="10">
        <f>IF(Q20=0,0,VLOOKUP(Q20,Dropdown!$M$2:$N$7,2,FALSE))</f>
        <v>0</v>
      </c>
      <c r="S20" s="20" t="s">
        <v>111</v>
      </c>
      <c r="T20" s="10">
        <f>IF(S20=0,0,VLOOKUP(S20,Dropdown!$O$2:$P$7,2,FALSE))</f>
        <v>0</v>
      </c>
      <c r="U20" s="20" t="s">
        <v>108</v>
      </c>
      <c r="V20" s="10">
        <f>IF(U20=0,0,VLOOKUP(U20,Dropdown!$Q$2:$R$7,2,FALSE))</f>
        <v>0</v>
      </c>
      <c r="W20" s="20" t="s">
        <v>112</v>
      </c>
      <c r="X20" s="10">
        <f>IF(W20=0,0,VLOOKUP(W20,Dropdown!$S$2:$T$7,2,FALSE))</f>
        <v>0</v>
      </c>
      <c r="Y20" s="20"/>
      <c r="Z20" s="10">
        <f>IF(Y20=0,0,VLOOKUP(Y20,Dropdown!$U$2:$V$6,2,FALSE))</f>
        <v>0</v>
      </c>
      <c r="AA20" s="20"/>
      <c r="AB20" s="10">
        <f>IF(AA20=0,0,VLOOKUP(AA20,Dropdown!$U$2:$V$6,2,FALSE))</f>
        <v>0</v>
      </c>
      <c r="AC20" s="20"/>
      <c r="AD20" s="10">
        <f>IF(AC20=0,0,VLOOKUP(AC20,Dropdown!$U$2:$V$6,2,FALSE))</f>
        <v>0</v>
      </c>
      <c r="AE20" s="20"/>
      <c r="AF20" s="10">
        <f>IF(AE20=0,0,VLOOKUP(AE20,Dropdown!$U$2:$V$6,2,FALSE))</f>
        <v>0</v>
      </c>
      <c r="AG20" s="20"/>
      <c r="AH20" s="10">
        <f>IF(AG20=0,0,VLOOKUP(AG20,Dropdown!$U$2:$V$6,2,FALSE))</f>
        <v>0</v>
      </c>
      <c r="AI20" s="20"/>
      <c r="AJ20" s="10">
        <f>IF(AI20=0,0,VLOOKUP(AI20,Dropdown!$U$2:$V$6,2,FALSE))</f>
        <v>0</v>
      </c>
      <c r="AK20" s="20"/>
      <c r="AL20" s="10">
        <f>IF(AK20=0,0,VLOOKUP(AK20,Dropdown!$U$2:$V$6,2,FALSE))</f>
        <v>0</v>
      </c>
      <c r="AM20" s="20"/>
      <c r="AN20" s="10">
        <f>IF(AM20=0,0,VLOOKUP(AM20,Dropdown!$U$2:$V$6,2,FALSE))</f>
        <v>0</v>
      </c>
      <c r="AO20" s="20"/>
      <c r="AP20" s="20"/>
      <c r="AQ20" s="10">
        <f>IF(AP20="",0,VLOOKUP(AP20,Dropdown!$U$2:$V$6,2,FALSE))</f>
        <v>0</v>
      </c>
      <c r="AR20" s="20"/>
      <c r="AS20" s="10">
        <f>IF(AR20="",0,VLOOKUP(AR20,Dropdown!$U$2:$V$6,2,FALSE))</f>
        <v>0</v>
      </c>
      <c r="AT20" s="20"/>
      <c r="AU20" s="10">
        <f>IF(AT20="",0,VLOOKUP(AT20,Dropdown!$U$2:$V$6,2,FALSE))</f>
        <v>0</v>
      </c>
      <c r="AV20" s="20"/>
      <c r="AW20" s="10">
        <f>IF(AV20="",0,VLOOKUP(AV20,Dropdown!$U$2:$V$6,2,FALSE))</f>
        <v>0</v>
      </c>
      <c r="AX20" s="20"/>
      <c r="AY20" s="10">
        <f>IF(AX20="",0,VLOOKUP(AX20,Dropdown!$U$2:$V$6,2,FALSE))</f>
        <v>0</v>
      </c>
      <c r="AZ20" s="20"/>
      <c r="BA20" s="10">
        <f>IF(AZ20="",0,VLOOKUP(AZ20,Dropdown!$U$2:$V$6,2,FALSE))</f>
        <v>0</v>
      </c>
      <c r="BB20" s="20"/>
      <c r="BC20" s="10">
        <f>IF(BB20="",0,VLOOKUP(BB20,Dropdown!$U$2:$V$6,2,FALSE))</f>
        <v>0</v>
      </c>
      <c r="BD20" s="20"/>
      <c r="BE20" s="10">
        <f>IF(BD20="",0,VLOOKUP(BD20,Dropdown!$U$2:$V$6,2,FALSE))</f>
        <v>0</v>
      </c>
    </row>
    <row r="21" spans="1:57" ht="14.4" customHeight="1" x14ac:dyDescent="0.3">
      <c r="A21" s="32" t="s">
        <v>44</v>
      </c>
      <c r="B21" s="10">
        <f>VLOOKUP(A21,Vulnerabilty!$B$3:$C$56,2,FALSE)</f>
        <v>0</v>
      </c>
      <c r="C21" s="10"/>
      <c r="D21" s="10"/>
      <c r="E21" s="20" t="s">
        <v>113</v>
      </c>
      <c r="F21" s="10">
        <f>IF(E21=0,0,VLOOKUP(E21,Dropdown!$A$1:$B$7,2,FALSE))</f>
        <v>0</v>
      </c>
      <c r="G21" s="20" t="s">
        <v>114</v>
      </c>
      <c r="H21" s="10">
        <f>IF(G21=0,0,VLOOKUP(G21,Dropdown!$C$2:$D$7,2,FALSE))</f>
        <v>0</v>
      </c>
      <c r="I21" s="20" t="s">
        <v>107</v>
      </c>
      <c r="J21" s="10" t="e">
        <f>IF('Hazard information'!I21=0,0,VLOOKUP(I21,Dropdown!$K$2:$L$7,2,FALSE))</f>
        <v>#N/A</v>
      </c>
      <c r="K21" s="20" t="s">
        <v>107</v>
      </c>
      <c r="L21" s="10" t="e">
        <f>IF(K21=0,0,VLOOKUP(K21,Dropdown!$E$2:$F$7,2,FALSE))</f>
        <v>#N/A</v>
      </c>
      <c r="M21" s="20" t="s">
        <v>108</v>
      </c>
      <c r="N21" s="10">
        <f>IF(M21=0,0,VLOOKUP(M21,Dropdown!$G$2:$H$7,2,FALSE))</f>
        <v>0</v>
      </c>
      <c r="O21" s="20" t="s">
        <v>109</v>
      </c>
      <c r="P21" s="10">
        <f>IF('Hazard information'!O21=0,0,VLOOKUP(O21,Dropdown!$I$1:$J$7,2,FALSE))</f>
        <v>0</v>
      </c>
      <c r="Q21" s="20" t="s">
        <v>110</v>
      </c>
      <c r="R21" s="10">
        <f>IF(Q21=0,0,VLOOKUP(Q21,Dropdown!$M$2:$N$7,2,FALSE))</f>
        <v>0</v>
      </c>
      <c r="S21" s="20" t="s">
        <v>111</v>
      </c>
      <c r="T21" s="10">
        <f>IF(S21=0,0,VLOOKUP(S21,Dropdown!$O$2:$P$7,2,FALSE))</f>
        <v>0</v>
      </c>
      <c r="U21" s="20" t="s">
        <v>108</v>
      </c>
      <c r="V21" s="10">
        <f>IF(U21=0,0,VLOOKUP(U21,Dropdown!$Q$2:$R$7,2,FALSE))</f>
        <v>0</v>
      </c>
      <c r="W21" s="20" t="s">
        <v>112</v>
      </c>
      <c r="X21" s="10">
        <f>IF(W21=0,0,VLOOKUP(W21,Dropdown!$S$2:$T$7,2,FALSE))</f>
        <v>0</v>
      </c>
      <c r="Y21" s="20"/>
      <c r="Z21" s="10">
        <f>IF(Y21=0,0,VLOOKUP(Y21,Dropdown!$U$2:$V$6,2,FALSE))</f>
        <v>0</v>
      </c>
      <c r="AA21" s="20"/>
      <c r="AB21" s="10">
        <f>IF(AA21=0,0,VLOOKUP(AA21,Dropdown!$U$2:$V$6,2,FALSE))</f>
        <v>0</v>
      </c>
      <c r="AC21" s="20"/>
      <c r="AD21" s="10">
        <f>IF(AC21=0,0,VLOOKUP(AC21,Dropdown!$U$2:$V$6,2,FALSE))</f>
        <v>0</v>
      </c>
      <c r="AE21" s="20"/>
      <c r="AF21" s="10">
        <f>IF(AE21=0,0,VLOOKUP(AE21,Dropdown!$U$2:$V$6,2,FALSE))</f>
        <v>0</v>
      </c>
      <c r="AG21" s="20"/>
      <c r="AH21" s="10">
        <f>IF(AG21=0,0,VLOOKUP(AG21,Dropdown!$U$2:$V$6,2,FALSE))</f>
        <v>0</v>
      </c>
      <c r="AI21" s="20"/>
      <c r="AJ21" s="10">
        <f>IF(AI21=0,0,VLOOKUP(AI21,Dropdown!$U$2:$V$6,2,FALSE))</f>
        <v>0</v>
      </c>
      <c r="AK21" s="20"/>
      <c r="AL21" s="10">
        <f>IF(AK21=0,0,VLOOKUP(AK21,Dropdown!$U$2:$V$6,2,FALSE))</f>
        <v>0</v>
      </c>
      <c r="AM21" s="20"/>
      <c r="AN21" s="10">
        <f>IF(AM21=0,0,VLOOKUP(AM21,Dropdown!$U$2:$V$6,2,FALSE))</f>
        <v>0</v>
      </c>
      <c r="AO21" s="20"/>
      <c r="AP21" s="20"/>
      <c r="AQ21" s="10">
        <f>IF(AP21="",0,VLOOKUP(AP21,Dropdown!$U$2:$V$6,2,FALSE))</f>
        <v>0</v>
      </c>
      <c r="AR21" s="20"/>
      <c r="AS21" s="10">
        <f>IF(AR21="",0,VLOOKUP(AR21,Dropdown!$U$2:$V$6,2,FALSE))</f>
        <v>0</v>
      </c>
      <c r="AT21" s="20"/>
      <c r="AU21" s="10">
        <f>IF(AT21="",0,VLOOKUP(AT21,Dropdown!$U$2:$V$6,2,FALSE))</f>
        <v>0</v>
      </c>
      <c r="AV21" s="20"/>
      <c r="AW21" s="10">
        <f>IF(AV21="",0,VLOOKUP(AV21,Dropdown!$U$2:$V$6,2,FALSE))</f>
        <v>0</v>
      </c>
      <c r="AX21" s="20"/>
      <c r="AY21" s="10">
        <f>IF(AX21="",0,VLOOKUP(AX21,Dropdown!$U$2:$V$6,2,FALSE))</f>
        <v>0</v>
      </c>
      <c r="AZ21" s="20"/>
      <c r="BA21" s="10">
        <f>IF(AZ21="",0,VLOOKUP(AZ21,Dropdown!$U$2:$V$6,2,FALSE))</f>
        <v>0</v>
      </c>
      <c r="BB21" s="20"/>
      <c r="BC21" s="10">
        <f>IF(BB21="",0,VLOOKUP(BB21,Dropdown!$U$2:$V$6,2,FALSE))</f>
        <v>0</v>
      </c>
      <c r="BD21" s="20"/>
      <c r="BE21" s="10">
        <f>IF(BD21="",0,VLOOKUP(BD21,Dropdown!$U$2:$V$6,2,FALSE))</f>
        <v>0</v>
      </c>
    </row>
    <row r="22" spans="1:57" ht="28.95" customHeight="1" x14ac:dyDescent="0.3">
      <c r="A22" s="32" t="s">
        <v>45</v>
      </c>
      <c r="B22" s="10">
        <f>VLOOKUP(A22,Vulnerabilty!$B$3:$C$56,2,FALSE)</f>
        <v>0</v>
      </c>
      <c r="C22" s="10"/>
      <c r="D22" s="10"/>
      <c r="E22" s="20" t="s">
        <v>113</v>
      </c>
      <c r="F22" s="10">
        <f>IF(E22=0,0,VLOOKUP(E22,Dropdown!$A$1:$B$7,2,FALSE))</f>
        <v>0</v>
      </c>
      <c r="G22" s="20" t="s">
        <v>114</v>
      </c>
      <c r="H22" s="10">
        <f>IF(G22=0,0,VLOOKUP(G22,Dropdown!$C$2:$D$7,2,FALSE))</f>
        <v>0</v>
      </c>
      <c r="I22" s="20" t="s">
        <v>107</v>
      </c>
      <c r="J22" s="10" t="e">
        <f>IF('Hazard information'!I22=0,0,VLOOKUP(I22,Dropdown!$K$2:$L$7,2,FALSE))</f>
        <v>#N/A</v>
      </c>
      <c r="K22" s="20" t="s">
        <v>107</v>
      </c>
      <c r="L22" s="10" t="e">
        <f>IF(K22=0,0,VLOOKUP(K22,Dropdown!$E$2:$F$7,2,FALSE))</f>
        <v>#N/A</v>
      </c>
      <c r="M22" s="20" t="s">
        <v>108</v>
      </c>
      <c r="N22" s="10">
        <f>IF(M22=0,0,VLOOKUP(M22,Dropdown!$G$2:$H$7,2,FALSE))</f>
        <v>0</v>
      </c>
      <c r="O22" s="20" t="s">
        <v>109</v>
      </c>
      <c r="P22" s="10">
        <f>IF('Hazard information'!O22=0,0,VLOOKUP(O22,Dropdown!$I$1:$J$7,2,FALSE))</f>
        <v>0</v>
      </c>
      <c r="Q22" s="20" t="s">
        <v>110</v>
      </c>
      <c r="R22" s="10">
        <f>IF(Q22=0,0,VLOOKUP(Q22,Dropdown!$M$2:$N$7,2,FALSE))</f>
        <v>0</v>
      </c>
      <c r="S22" s="20" t="s">
        <v>111</v>
      </c>
      <c r="T22" s="10">
        <f>IF(S22=0,0,VLOOKUP(S22,Dropdown!$O$2:$P$7,2,FALSE))</f>
        <v>0</v>
      </c>
      <c r="U22" s="20" t="s">
        <v>108</v>
      </c>
      <c r="V22" s="10">
        <f>IF(U22=0,0,VLOOKUP(U22,Dropdown!$Q$2:$R$7,2,FALSE))</f>
        <v>0</v>
      </c>
      <c r="W22" s="20" t="s">
        <v>112</v>
      </c>
      <c r="X22" s="10">
        <f>IF(W22=0,0,VLOOKUP(W22,Dropdown!$S$2:$T$7,2,FALSE))</f>
        <v>0</v>
      </c>
      <c r="Y22" s="20"/>
      <c r="Z22" s="10">
        <f>IF(Y22=0,0,VLOOKUP(Y22,Dropdown!$U$2:$V$6,2,FALSE))</f>
        <v>0</v>
      </c>
      <c r="AA22" s="20"/>
      <c r="AB22" s="10">
        <f>IF(AA22=0,0,VLOOKUP(AA22,Dropdown!$U$2:$V$6,2,FALSE))</f>
        <v>0</v>
      </c>
      <c r="AC22" s="20"/>
      <c r="AD22" s="10">
        <f>IF(AC22=0,0,VLOOKUP(AC22,Dropdown!$U$2:$V$6,2,FALSE))</f>
        <v>0</v>
      </c>
      <c r="AE22" s="20"/>
      <c r="AF22" s="10">
        <f>IF(AE22=0,0,VLOOKUP(AE22,Dropdown!$U$2:$V$6,2,FALSE))</f>
        <v>0</v>
      </c>
      <c r="AG22" s="20"/>
      <c r="AH22" s="10">
        <f>IF(AG22=0,0,VLOOKUP(AG22,Dropdown!$U$2:$V$6,2,FALSE))</f>
        <v>0</v>
      </c>
      <c r="AI22" s="20"/>
      <c r="AJ22" s="10">
        <f>IF(AI22=0,0,VLOOKUP(AI22,Dropdown!$U$2:$V$6,2,FALSE))</f>
        <v>0</v>
      </c>
      <c r="AK22" s="20"/>
      <c r="AL22" s="10">
        <f>IF(AK22=0,0,VLOOKUP(AK22,Dropdown!$U$2:$V$6,2,FALSE))</f>
        <v>0</v>
      </c>
      <c r="AM22" s="20"/>
      <c r="AN22" s="10">
        <f>IF(AM22=0,0,VLOOKUP(AM22,Dropdown!$U$2:$V$6,2,FALSE))</f>
        <v>0</v>
      </c>
      <c r="AO22" s="20"/>
      <c r="AP22" s="20"/>
      <c r="AQ22" s="10">
        <f>IF(AP22="",0,VLOOKUP(AP22,Dropdown!$U$2:$V$6,2,FALSE))</f>
        <v>0</v>
      </c>
      <c r="AR22" s="20"/>
      <c r="AS22" s="10">
        <f>IF(AR22="",0,VLOOKUP(AR22,Dropdown!$U$2:$V$6,2,FALSE))</f>
        <v>0</v>
      </c>
      <c r="AT22" s="20"/>
      <c r="AU22" s="10">
        <f>IF(AT22="",0,VLOOKUP(AT22,Dropdown!$U$2:$V$6,2,FALSE))</f>
        <v>0</v>
      </c>
      <c r="AV22" s="20"/>
      <c r="AW22" s="10">
        <f>IF(AV22="",0,VLOOKUP(AV22,Dropdown!$U$2:$V$6,2,FALSE))</f>
        <v>0</v>
      </c>
      <c r="AX22" s="20"/>
      <c r="AY22" s="10">
        <f>IF(AX22="",0,VLOOKUP(AX22,Dropdown!$U$2:$V$6,2,FALSE))</f>
        <v>0</v>
      </c>
      <c r="AZ22" s="20"/>
      <c r="BA22" s="10">
        <f>IF(AZ22="",0,VLOOKUP(AZ22,Dropdown!$U$2:$V$6,2,FALSE))</f>
        <v>0</v>
      </c>
      <c r="BB22" s="20"/>
      <c r="BC22" s="10">
        <f>IF(BB22="",0,VLOOKUP(BB22,Dropdown!$U$2:$V$6,2,FALSE))</f>
        <v>0</v>
      </c>
      <c r="BD22" s="20"/>
      <c r="BE22" s="10">
        <f>IF(BD22="",0,VLOOKUP(BD22,Dropdown!$U$2:$V$6,2,FALSE))</f>
        <v>0</v>
      </c>
    </row>
    <row r="23" spans="1:57" x14ac:dyDescent="0.3">
      <c r="A23" s="32" t="s">
        <v>46</v>
      </c>
      <c r="B23" s="10">
        <f>VLOOKUP(A23,Vulnerabilty!$B$3:$C$56,2,FALSE)</f>
        <v>0</v>
      </c>
      <c r="C23" s="10"/>
      <c r="D23" s="40"/>
      <c r="E23" s="20" t="s">
        <v>113</v>
      </c>
      <c r="F23" s="10">
        <f>IF(E23=0,0,VLOOKUP(E23,Dropdown!$A$1:$B$7,2,FALSE))</f>
        <v>0</v>
      </c>
      <c r="G23" s="20" t="s">
        <v>114</v>
      </c>
      <c r="H23" s="10">
        <f>IF(G23=0,0,VLOOKUP(G23,Dropdown!$C$2:$D$7,2,FALSE))</f>
        <v>0</v>
      </c>
      <c r="I23" s="20" t="s">
        <v>107</v>
      </c>
      <c r="J23" s="10" t="e">
        <f>IF('Hazard information'!I23=0,0,VLOOKUP(I23,Dropdown!$K$2:$L$7,2,FALSE))</f>
        <v>#N/A</v>
      </c>
      <c r="K23" s="20" t="s">
        <v>107</v>
      </c>
      <c r="L23" s="10" t="e">
        <f>IF(K23=0,0,VLOOKUP(K23,Dropdown!$E$2:$F$7,2,FALSE))</f>
        <v>#N/A</v>
      </c>
      <c r="M23" s="20" t="s">
        <v>108</v>
      </c>
      <c r="N23" s="10">
        <f>IF(M23=0,0,VLOOKUP(M23,Dropdown!$G$2:$H$7,2,FALSE))</f>
        <v>0</v>
      </c>
      <c r="O23" s="20" t="s">
        <v>109</v>
      </c>
      <c r="P23" s="10">
        <f>IF('Hazard information'!O23=0,0,VLOOKUP(O23,Dropdown!$I$1:$J$7,2,FALSE))</f>
        <v>0</v>
      </c>
      <c r="Q23" s="20" t="s">
        <v>110</v>
      </c>
      <c r="R23" s="10">
        <f>IF(Q23=0,0,VLOOKUP(Q23,Dropdown!$M$2:$N$7,2,FALSE))</f>
        <v>0</v>
      </c>
      <c r="S23" s="20" t="s">
        <v>111</v>
      </c>
      <c r="T23" s="10">
        <f>IF(S23=0,0,VLOOKUP(S23,Dropdown!$O$2:$P$7,2,FALSE))</f>
        <v>0</v>
      </c>
      <c r="U23" s="20" t="s">
        <v>108</v>
      </c>
      <c r="V23" s="10">
        <f>IF(U23=0,0,VLOOKUP(U23,Dropdown!$Q$2:$R$7,2,FALSE))</f>
        <v>0</v>
      </c>
      <c r="W23" s="20" t="s">
        <v>112</v>
      </c>
      <c r="X23" s="10">
        <f>IF(W23=0,0,VLOOKUP(W23,Dropdown!$S$2:$T$7,2,FALSE))</f>
        <v>0</v>
      </c>
      <c r="Y23" s="20"/>
      <c r="Z23" s="10">
        <f>IF(Y23=0,0,VLOOKUP(Y23,Dropdown!$U$2:$V$6,2,FALSE))</f>
        <v>0</v>
      </c>
      <c r="AA23" s="20"/>
      <c r="AB23" s="10">
        <f>IF(AA23=0,0,VLOOKUP(AA23,Dropdown!$U$2:$V$6,2,FALSE))</f>
        <v>0</v>
      </c>
      <c r="AC23" s="20"/>
      <c r="AD23" s="10">
        <f>IF(AC23=0,0,VLOOKUP(AC23,Dropdown!$U$2:$V$6,2,FALSE))</f>
        <v>0</v>
      </c>
      <c r="AE23" s="20"/>
      <c r="AF23" s="10">
        <f>IF(AE23=0,0,VLOOKUP(AE23,Dropdown!$U$2:$V$6,2,FALSE))</f>
        <v>0</v>
      </c>
      <c r="AG23" s="20"/>
      <c r="AH23" s="10">
        <f>IF(AG23=0,0,VLOOKUP(AG23,Dropdown!$U$2:$V$6,2,FALSE))</f>
        <v>0</v>
      </c>
      <c r="AI23" s="20"/>
      <c r="AJ23" s="10">
        <f>IF(AI23=0,0,VLOOKUP(AI23,Dropdown!$U$2:$V$6,2,FALSE))</f>
        <v>0</v>
      </c>
      <c r="AK23" s="20"/>
      <c r="AL23" s="10">
        <f>IF(AK23=0,0,VLOOKUP(AK23,Dropdown!$U$2:$V$6,2,FALSE))</f>
        <v>0</v>
      </c>
      <c r="AM23" s="20"/>
      <c r="AN23" s="10">
        <f>IF(AM23=0,0,VLOOKUP(AM23,Dropdown!$U$2:$V$6,2,FALSE))</f>
        <v>0</v>
      </c>
      <c r="AO23" s="20"/>
      <c r="AP23" s="20"/>
      <c r="AQ23" s="10">
        <f>IF(AP23="",0,VLOOKUP(AP23,Dropdown!$U$2:$V$6,2,FALSE))</f>
        <v>0</v>
      </c>
      <c r="AR23" s="20"/>
      <c r="AS23" s="10">
        <f>IF(AR23="",0,VLOOKUP(AR23,Dropdown!$U$2:$V$6,2,FALSE))</f>
        <v>0</v>
      </c>
      <c r="AT23" s="20"/>
      <c r="AU23" s="10">
        <f>IF(AT23="",0,VLOOKUP(AT23,Dropdown!$U$2:$V$6,2,FALSE))</f>
        <v>0</v>
      </c>
      <c r="AV23" s="20"/>
      <c r="AW23" s="10">
        <f>IF(AV23="",0,VLOOKUP(AV23,Dropdown!$U$2:$V$6,2,FALSE))</f>
        <v>0</v>
      </c>
      <c r="AX23" s="20"/>
      <c r="AY23" s="10">
        <f>IF(AX23="",0,VLOOKUP(AX23,Dropdown!$U$2:$V$6,2,FALSE))</f>
        <v>0</v>
      </c>
      <c r="AZ23" s="20"/>
      <c r="BA23" s="10">
        <f>IF(AZ23="",0,VLOOKUP(AZ23,Dropdown!$U$2:$V$6,2,FALSE))</f>
        <v>0</v>
      </c>
      <c r="BB23" s="20"/>
      <c r="BC23" s="10">
        <f>IF(BB23="",0,VLOOKUP(BB23,Dropdown!$U$2:$V$6,2,FALSE))</f>
        <v>0</v>
      </c>
      <c r="BD23" s="20"/>
      <c r="BE23" s="10">
        <f>IF(BD23="",0,VLOOKUP(BD23,Dropdown!$U$2:$V$6,2,FALSE))</f>
        <v>0</v>
      </c>
    </row>
    <row r="24" spans="1:57" ht="14.4" customHeight="1" x14ac:dyDescent="0.3">
      <c r="A24" s="32" t="s">
        <v>47</v>
      </c>
      <c r="B24" s="10">
        <f>VLOOKUP(A24,Vulnerabilty!$B$3:$C$56,2,FALSE)</f>
        <v>0</v>
      </c>
      <c r="C24" s="10"/>
      <c r="D24" s="40"/>
      <c r="E24" s="20" t="s">
        <v>116</v>
      </c>
      <c r="F24" s="10">
        <f>IF(E24=0,0,VLOOKUP(E24,Dropdown!$A$1:$B$7,2,FALSE))</f>
        <v>4</v>
      </c>
      <c r="G24" s="20" t="s">
        <v>114</v>
      </c>
      <c r="H24" s="10">
        <f>IF(G24=0,0,VLOOKUP(G24,Dropdown!$C$2:$D$7,2,FALSE))</f>
        <v>0</v>
      </c>
      <c r="I24" s="20" t="s">
        <v>117</v>
      </c>
      <c r="J24" s="10">
        <f>IF('Hazard information'!I24=0,0,VLOOKUP(I24,Dropdown!$K$2:$L$7,2,FALSE))</f>
        <v>5</v>
      </c>
      <c r="K24" s="20" t="s">
        <v>108</v>
      </c>
      <c r="L24" s="10">
        <f>IF(K24=0,0,VLOOKUP(K24,Dropdown!$E$2:$F$7,2,FALSE))</f>
        <v>0</v>
      </c>
      <c r="M24" s="20" t="s">
        <v>108</v>
      </c>
      <c r="N24" s="10">
        <f>IF(M24=0,0,VLOOKUP(M24,Dropdown!$G$2:$H$7,2,FALSE))</f>
        <v>0</v>
      </c>
      <c r="O24" s="20" t="s">
        <v>109</v>
      </c>
      <c r="P24" s="10">
        <f>IF('Hazard information'!O24=0,0,VLOOKUP(O24,Dropdown!$I$1:$J$7,2,FALSE))</f>
        <v>0</v>
      </c>
      <c r="Q24" s="20" t="s">
        <v>110</v>
      </c>
      <c r="R24" s="10">
        <f>IF(Q24=0,0,VLOOKUP(Q24,Dropdown!$M$2:$N$7,2,FALSE))</f>
        <v>0</v>
      </c>
      <c r="S24" s="20" t="s">
        <v>111</v>
      </c>
      <c r="T24" s="10">
        <f>IF(S24=0,0,VLOOKUP(S24,Dropdown!$O$2:$P$7,2,FALSE))</f>
        <v>0</v>
      </c>
      <c r="U24" s="20" t="s">
        <v>108</v>
      </c>
      <c r="V24" s="10">
        <f>IF(U24=0,0,VLOOKUP(U24,Dropdown!$Q$2:$R$7,2,FALSE))</f>
        <v>0</v>
      </c>
      <c r="W24" s="20" t="s">
        <v>112</v>
      </c>
      <c r="X24" s="10">
        <f>IF(W24=0,0,VLOOKUP(W24,Dropdown!$S$2:$T$7,2,FALSE))</f>
        <v>0</v>
      </c>
      <c r="Y24" s="20" t="s">
        <v>118</v>
      </c>
      <c r="Z24" s="10">
        <f>IF(Y24=0,0,VLOOKUP(Y24,Dropdown!$U$2:$V$6,2,FALSE))</f>
        <v>1</v>
      </c>
      <c r="AA24" s="20"/>
      <c r="AB24" s="10">
        <f>IF(AA24=0,0,VLOOKUP(AA24,Dropdown!$U$2:$V$6,2,FALSE))</f>
        <v>0</v>
      </c>
      <c r="AC24" s="20"/>
      <c r="AD24" s="10">
        <f>IF(AC24=0,0,VLOOKUP(AC24,Dropdown!$U$2:$V$6,2,FALSE))</f>
        <v>0</v>
      </c>
      <c r="AE24" s="20"/>
      <c r="AF24" s="10">
        <f>IF(AE24=0,0,VLOOKUP(AE24,Dropdown!$U$2:$V$6,2,FALSE))</f>
        <v>0</v>
      </c>
      <c r="AG24" s="20"/>
      <c r="AH24" s="10">
        <f>IF(AG24=0,0,VLOOKUP(AG24,Dropdown!$U$2:$V$6,2,FALSE))</f>
        <v>0</v>
      </c>
      <c r="AI24" s="20"/>
      <c r="AJ24" s="10">
        <f>IF(AI24=0,0,VLOOKUP(AI24,Dropdown!$U$2:$V$6,2,FALSE))</f>
        <v>0</v>
      </c>
      <c r="AK24" s="20"/>
      <c r="AL24" s="10">
        <f>IF(AK24=0,0,VLOOKUP(AK24,Dropdown!$U$2:$V$6,2,FALSE))</f>
        <v>0</v>
      </c>
      <c r="AM24" s="20"/>
      <c r="AN24" s="10">
        <f>IF(AM24=0,0,VLOOKUP(AM24,Dropdown!$U$2:$V$6,2,FALSE))</f>
        <v>0</v>
      </c>
      <c r="AO24" s="20" t="s">
        <v>115</v>
      </c>
      <c r="AP24" s="20" t="s">
        <v>119</v>
      </c>
      <c r="AQ24" s="10">
        <f>IF(AP24="",0,VLOOKUP(AP24,Dropdown!$U$2:$V$6,2,FALSE))</f>
        <v>2</v>
      </c>
      <c r="AR24" s="20"/>
      <c r="AS24" s="10">
        <f>IF(AR24="",0,VLOOKUP(AR24,Dropdown!$U$2:$V$6,2,FALSE))</f>
        <v>0</v>
      </c>
      <c r="AT24" s="20"/>
      <c r="AU24" s="10">
        <f>IF(AT24="",0,VLOOKUP(AT24,Dropdown!$U$2:$V$6,2,FALSE))</f>
        <v>0</v>
      </c>
      <c r="AV24" s="20"/>
      <c r="AW24" s="10">
        <f>IF(AV24="",0,VLOOKUP(AV24,Dropdown!$U$2:$V$6,2,FALSE))</f>
        <v>0</v>
      </c>
      <c r="AX24" s="20"/>
      <c r="AY24" s="10">
        <f>IF(AX24="",0,VLOOKUP(AX24,Dropdown!$U$2:$V$6,2,FALSE))</f>
        <v>0</v>
      </c>
      <c r="AZ24" s="20"/>
      <c r="BA24" s="10">
        <f>IF(AZ24="",0,VLOOKUP(AZ24,Dropdown!$U$2:$V$6,2,FALSE))</f>
        <v>0</v>
      </c>
      <c r="BB24" s="20"/>
      <c r="BC24" s="10">
        <f>IF(BB24="",0,VLOOKUP(BB24,Dropdown!$U$2:$V$6,2,FALSE))</f>
        <v>0</v>
      </c>
      <c r="BD24" s="20"/>
      <c r="BE24" s="10">
        <f>IF(BD24="",0,VLOOKUP(BD24,Dropdown!$U$2:$V$6,2,FALSE))</f>
        <v>0</v>
      </c>
    </row>
    <row r="25" spans="1:57" ht="14.4" customHeight="1" x14ac:dyDescent="0.3">
      <c r="A25" s="32" t="s">
        <v>48</v>
      </c>
      <c r="B25" s="10">
        <f>VLOOKUP(A25,Vulnerabilty!$B$3:$C$56,2,FALSE)</f>
        <v>0</v>
      </c>
      <c r="C25" s="10"/>
      <c r="D25" s="40"/>
      <c r="E25" s="20" t="s">
        <v>113</v>
      </c>
      <c r="F25" s="10">
        <f>IF(E25=0,0,VLOOKUP(E25,Dropdown!$A$1:$B$7,2,FALSE))</f>
        <v>0</v>
      </c>
      <c r="G25" s="20" t="s">
        <v>114</v>
      </c>
      <c r="H25" s="10">
        <f>IF(G25=0,0,VLOOKUP(G25,Dropdown!$C$2:$D$7,2,FALSE))</f>
        <v>0</v>
      </c>
      <c r="I25" s="20" t="s">
        <v>107</v>
      </c>
      <c r="J25" s="10" t="e">
        <f>IF('Hazard information'!I25=0,0,VLOOKUP(I25,Dropdown!$K$2:$L$7,2,FALSE))</f>
        <v>#N/A</v>
      </c>
      <c r="K25" s="20" t="s">
        <v>107</v>
      </c>
      <c r="L25" s="10" t="e">
        <f>IF(K25=0,0,VLOOKUP(K25,Dropdown!$E$2:$F$7,2,FALSE))</f>
        <v>#N/A</v>
      </c>
      <c r="M25" s="20" t="s">
        <v>108</v>
      </c>
      <c r="N25" s="10">
        <f>IF(M25=0,0,VLOOKUP(M25,Dropdown!$G$2:$H$7,2,FALSE))</f>
        <v>0</v>
      </c>
      <c r="O25" s="20" t="s">
        <v>109</v>
      </c>
      <c r="P25" s="10">
        <f>IF('Hazard information'!O25=0,0,VLOOKUP(O25,Dropdown!$I$1:$J$7,2,FALSE))</f>
        <v>0</v>
      </c>
      <c r="Q25" s="20" t="s">
        <v>110</v>
      </c>
      <c r="R25" s="10">
        <f>IF(Q25=0,0,VLOOKUP(Q25,Dropdown!$M$2:$N$7,2,FALSE))</f>
        <v>0</v>
      </c>
      <c r="S25" s="20" t="s">
        <v>111</v>
      </c>
      <c r="T25" s="10">
        <f>IF(S25=0,0,VLOOKUP(S25,Dropdown!$O$2:$P$7,2,FALSE))</f>
        <v>0</v>
      </c>
      <c r="U25" s="20" t="s">
        <v>108</v>
      </c>
      <c r="V25" s="10">
        <f>IF(U25=0,0,VLOOKUP(U25,Dropdown!$Q$2:$R$7,2,FALSE))</f>
        <v>0</v>
      </c>
      <c r="W25" s="20" t="s">
        <v>112</v>
      </c>
      <c r="X25" s="10">
        <f>IF(W25=0,0,VLOOKUP(W25,Dropdown!$S$2:$T$7,2,FALSE))</f>
        <v>0</v>
      </c>
      <c r="Y25" s="20"/>
      <c r="Z25" s="10">
        <f>IF(Y25=0,0,VLOOKUP(Y25,Dropdown!$U$2:$V$6,2,FALSE))</f>
        <v>0</v>
      </c>
      <c r="AA25" s="20"/>
      <c r="AB25" s="10">
        <f>IF(AA25=0,0,VLOOKUP(AA25,Dropdown!$U$2:$V$6,2,FALSE))</f>
        <v>0</v>
      </c>
      <c r="AC25" s="20"/>
      <c r="AD25" s="10">
        <f>IF(AC25=0,0,VLOOKUP(AC25,Dropdown!$U$2:$V$6,2,FALSE))</f>
        <v>0</v>
      </c>
      <c r="AE25" s="20"/>
      <c r="AF25" s="10">
        <f>IF(AE25=0,0,VLOOKUP(AE25,Dropdown!$U$2:$V$6,2,FALSE))</f>
        <v>0</v>
      </c>
      <c r="AG25" s="20"/>
      <c r="AH25" s="10">
        <f>IF(AG25=0,0,VLOOKUP(AG25,Dropdown!$U$2:$V$6,2,FALSE))</f>
        <v>0</v>
      </c>
      <c r="AI25" s="20"/>
      <c r="AJ25" s="10">
        <f>IF(AI25=0,0,VLOOKUP(AI25,Dropdown!$U$2:$V$6,2,FALSE))</f>
        <v>0</v>
      </c>
      <c r="AK25" s="20"/>
      <c r="AL25" s="10">
        <f>IF(AK25=0,0,VLOOKUP(AK25,Dropdown!$U$2:$V$6,2,FALSE))</f>
        <v>0</v>
      </c>
      <c r="AM25" s="20"/>
      <c r="AN25" s="10">
        <f>IF(AM25=0,0,VLOOKUP(AM25,Dropdown!$U$2:$V$6,2,FALSE))</f>
        <v>0</v>
      </c>
      <c r="AO25" s="20"/>
      <c r="AP25" s="20"/>
      <c r="AQ25" s="10">
        <f>IF(AP25="",0,VLOOKUP(AP25,Dropdown!$U$2:$V$6,2,FALSE))</f>
        <v>0</v>
      </c>
      <c r="AR25" s="20"/>
      <c r="AS25" s="10">
        <f>IF(AR25="",0,VLOOKUP(AR25,Dropdown!$U$2:$V$6,2,FALSE))</f>
        <v>0</v>
      </c>
      <c r="AT25" s="20"/>
      <c r="AU25" s="10">
        <f>IF(AT25="",0,VLOOKUP(AT25,Dropdown!$U$2:$V$6,2,FALSE))</f>
        <v>0</v>
      </c>
      <c r="AV25" s="20"/>
      <c r="AW25" s="10">
        <f>IF(AV25="",0,VLOOKUP(AV25,Dropdown!$U$2:$V$6,2,FALSE))</f>
        <v>0</v>
      </c>
      <c r="AX25" s="20"/>
      <c r="AY25" s="10">
        <f>IF(AX25="",0,VLOOKUP(AX25,Dropdown!$U$2:$V$6,2,FALSE))</f>
        <v>0</v>
      </c>
      <c r="AZ25" s="20"/>
      <c r="BA25" s="10">
        <f>IF(AZ25="",0,VLOOKUP(AZ25,Dropdown!$U$2:$V$6,2,FALSE))</f>
        <v>0</v>
      </c>
      <c r="BB25" s="20"/>
      <c r="BC25" s="10">
        <f>IF(BB25="",0,VLOOKUP(BB25,Dropdown!$U$2:$V$6,2,FALSE))</f>
        <v>0</v>
      </c>
      <c r="BD25" s="20"/>
      <c r="BE25" s="10">
        <f>IF(BD25="",0,VLOOKUP(BD25,Dropdown!$U$2:$V$6,2,FALSE))</f>
        <v>0</v>
      </c>
    </row>
    <row r="26" spans="1:57" ht="28.95" customHeight="1" x14ac:dyDescent="0.3">
      <c r="A26" s="32" t="s">
        <v>49</v>
      </c>
      <c r="B26" s="10">
        <f>VLOOKUP(A26,Vulnerabilty!$B$3:$C$56,2,FALSE)</f>
        <v>0</v>
      </c>
      <c r="C26" s="10"/>
      <c r="D26" s="10"/>
      <c r="E26" s="20" t="s">
        <v>113</v>
      </c>
      <c r="F26" s="10">
        <f>IF(E26=0,0,VLOOKUP(E26,Dropdown!$A$1:$B$7,2,FALSE))</f>
        <v>0</v>
      </c>
      <c r="G26" s="20" t="s">
        <v>114</v>
      </c>
      <c r="H26" s="10">
        <f>IF(G26=0,0,VLOOKUP(G26,Dropdown!$C$2:$D$7,2,FALSE))</f>
        <v>0</v>
      </c>
      <c r="I26" s="20" t="s">
        <v>107</v>
      </c>
      <c r="J26" s="10" t="e">
        <f>IF('Hazard information'!I26=0,0,VLOOKUP(I26,Dropdown!$K$2:$L$7,2,FALSE))</f>
        <v>#N/A</v>
      </c>
      <c r="K26" s="20" t="s">
        <v>107</v>
      </c>
      <c r="L26" s="10" t="e">
        <f>IF(K26=0,0,VLOOKUP(K26,Dropdown!$E$2:$F$7,2,FALSE))</f>
        <v>#N/A</v>
      </c>
      <c r="M26" s="20" t="s">
        <v>108</v>
      </c>
      <c r="N26" s="10">
        <f>IF(M26=0,0,VLOOKUP(M26,Dropdown!$G$2:$H$7,2,FALSE))</f>
        <v>0</v>
      </c>
      <c r="O26" s="20" t="s">
        <v>109</v>
      </c>
      <c r="P26" s="10">
        <f>IF('Hazard information'!O26=0,0,VLOOKUP(O26,Dropdown!$I$1:$J$7,2,FALSE))</f>
        <v>0</v>
      </c>
      <c r="Q26" s="20" t="s">
        <v>110</v>
      </c>
      <c r="R26" s="10">
        <f>IF(Q26=0,0,VLOOKUP(Q26,Dropdown!$M$2:$N$7,2,FALSE))</f>
        <v>0</v>
      </c>
      <c r="S26" s="20" t="s">
        <v>111</v>
      </c>
      <c r="T26" s="10">
        <f>IF(S26=0,0,VLOOKUP(S26,Dropdown!$O$2:$P$7,2,FALSE))</f>
        <v>0</v>
      </c>
      <c r="U26" s="20" t="s">
        <v>108</v>
      </c>
      <c r="V26" s="10">
        <f>IF(U26=0,0,VLOOKUP(U26,Dropdown!$Q$2:$R$7,2,FALSE))</f>
        <v>0</v>
      </c>
      <c r="W26" s="20" t="s">
        <v>112</v>
      </c>
      <c r="X26" s="10">
        <f>IF(W26=0,0,VLOOKUP(W26,Dropdown!$S$2:$T$7,2,FALSE))</f>
        <v>0</v>
      </c>
      <c r="Y26" s="20"/>
      <c r="Z26" s="10">
        <f>IF(Y26=0,0,VLOOKUP(Y26,Dropdown!$U$2:$V$6,2,FALSE))</f>
        <v>0</v>
      </c>
      <c r="AA26" s="20"/>
      <c r="AB26" s="10">
        <f>IF(AA26=0,0,VLOOKUP(AA26,Dropdown!$U$2:$V$6,2,FALSE))</f>
        <v>0</v>
      </c>
      <c r="AC26" s="20"/>
      <c r="AD26" s="10">
        <f>IF(AC26=0,0,VLOOKUP(AC26,Dropdown!$U$2:$V$6,2,FALSE))</f>
        <v>0</v>
      </c>
      <c r="AE26" s="20"/>
      <c r="AF26" s="10">
        <f>IF(AE26=0,0,VLOOKUP(AE26,Dropdown!$U$2:$V$6,2,FALSE))</f>
        <v>0</v>
      </c>
      <c r="AG26" s="20"/>
      <c r="AH26" s="10">
        <f>IF(AG26=0,0,VLOOKUP(AG26,Dropdown!$U$2:$V$6,2,FALSE))</f>
        <v>0</v>
      </c>
      <c r="AI26" s="20"/>
      <c r="AJ26" s="10">
        <f>IF(AI26=0,0,VLOOKUP(AI26,Dropdown!$U$2:$V$6,2,FALSE))</f>
        <v>0</v>
      </c>
      <c r="AK26" s="20"/>
      <c r="AL26" s="10">
        <f>IF(AK26=0,0,VLOOKUP(AK26,Dropdown!$U$2:$V$6,2,FALSE))</f>
        <v>0</v>
      </c>
      <c r="AM26" s="20"/>
      <c r="AN26" s="10">
        <f>IF(AM26=0,0,VLOOKUP(AM26,Dropdown!$U$2:$V$6,2,FALSE))</f>
        <v>0</v>
      </c>
      <c r="AO26" s="20"/>
      <c r="AP26" s="20"/>
      <c r="AQ26" s="10">
        <f>IF(AP26="",0,VLOOKUP(AP26,Dropdown!$U$2:$V$6,2,FALSE))</f>
        <v>0</v>
      </c>
      <c r="AR26" s="20"/>
      <c r="AS26" s="10">
        <f>IF(AR26="",0,VLOOKUP(AR26,Dropdown!$U$2:$V$6,2,FALSE))</f>
        <v>0</v>
      </c>
      <c r="AT26" s="20"/>
      <c r="AU26" s="10">
        <f>IF(AT26="",0,VLOOKUP(AT26,Dropdown!$U$2:$V$6,2,FALSE))</f>
        <v>0</v>
      </c>
      <c r="AV26" s="20"/>
      <c r="AW26" s="10">
        <f>IF(AV26="",0,VLOOKUP(AV26,Dropdown!$U$2:$V$6,2,FALSE))</f>
        <v>0</v>
      </c>
      <c r="AX26" s="20"/>
      <c r="AY26" s="10">
        <f>IF(AX26="",0,VLOOKUP(AX26,Dropdown!$U$2:$V$6,2,FALSE))</f>
        <v>0</v>
      </c>
      <c r="AZ26" s="20"/>
      <c r="BA26" s="10">
        <f>IF(AZ26="",0,VLOOKUP(AZ26,Dropdown!$U$2:$V$6,2,FALSE))</f>
        <v>0</v>
      </c>
      <c r="BB26" s="20"/>
      <c r="BC26" s="10">
        <f>IF(BB26="",0,VLOOKUP(BB26,Dropdown!$U$2:$V$6,2,FALSE))</f>
        <v>0</v>
      </c>
      <c r="BD26" s="20"/>
      <c r="BE26" s="10">
        <f>IF(BD26="",0,VLOOKUP(BD26,Dropdown!$U$2:$V$6,2,FALSE))</f>
        <v>0</v>
      </c>
    </row>
    <row r="27" spans="1:57" x14ac:dyDescent="0.3">
      <c r="A27" s="32" t="s">
        <v>50</v>
      </c>
      <c r="B27" s="10">
        <f>VLOOKUP(A27,Vulnerabilty!$B$3:$C$56,2,FALSE)</f>
        <v>0</v>
      </c>
      <c r="C27" s="10"/>
      <c r="D27" s="40"/>
      <c r="E27" s="20" t="s">
        <v>113</v>
      </c>
      <c r="F27" s="10">
        <f>IF(E27=0,0,VLOOKUP(E27,Dropdown!$A$1:$B$7,2,FALSE))</f>
        <v>0</v>
      </c>
      <c r="G27" s="20" t="s">
        <v>114</v>
      </c>
      <c r="H27" s="10">
        <f>IF(G27=0,0,VLOOKUP(G27,Dropdown!$C$2:$D$7,2,FALSE))</f>
        <v>0</v>
      </c>
      <c r="I27" s="20" t="s">
        <v>107</v>
      </c>
      <c r="J27" s="10" t="e">
        <f>IF('Hazard information'!I27=0,0,VLOOKUP(I27,Dropdown!$K$2:$L$7,2,FALSE))</f>
        <v>#N/A</v>
      </c>
      <c r="K27" s="20" t="s">
        <v>107</v>
      </c>
      <c r="L27" s="10" t="e">
        <f>IF(K27=0,0,VLOOKUP(K27,Dropdown!$E$2:$F$7,2,FALSE))</f>
        <v>#N/A</v>
      </c>
      <c r="M27" s="20" t="s">
        <v>108</v>
      </c>
      <c r="N27" s="10">
        <f>IF(M27=0,0,VLOOKUP(M27,Dropdown!$G$2:$H$7,2,FALSE))</f>
        <v>0</v>
      </c>
      <c r="O27" s="20" t="s">
        <v>109</v>
      </c>
      <c r="P27" s="10">
        <f>IF('Hazard information'!O27=0,0,VLOOKUP(O27,Dropdown!$I$1:$J$7,2,FALSE))</f>
        <v>0</v>
      </c>
      <c r="Q27" s="20" t="s">
        <v>110</v>
      </c>
      <c r="R27" s="10">
        <f>IF(Q27=0,0,VLOOKUP(Q27,Dropdown!$M$2:$N$7,2,FALSE))</f>
        <v>0</v>
      </c>
      <c r="S27" s="20" t="s">
        <v>111</v>
      </c>
      <c r="T27" s="10">
        <f>IF(S27=0,0,VLOOKUP(S27,Dropdown!$O$2:$P$7,2,FALSE))</f>
        <v>0</v>
      </c>
      <c r="U27" s="20" t="s">
        <v>108</v>
      </c>
      <c r="V27" s="10">
        <f>IF(U27=0,0,VLOOKUP(U27,Dropdown!$Q$2:$R$7,2,FALSE))</f>
        <v>0</v>
      </c>
      <c r="W27" s="20" t="s">
        <v>112</v>
      </c>
      <c r="X27" s="10">
        <f>IF(W27=0,0,VLOOKUP(W27,Dropdown!$S$2:$T$7,2,FALSE))</f>
        <v>0</v>
      </c>
      <c r="Y27" s="20"/>
      <c r="Z27" s="10">
        <f>IF(Y27=0,0,VLOOKUP(Y27,Dropdown!$U$2:$V$6,2,FALSE))</f>
        <v>0</v>
      </c>
      <c r="AA27" s="20"/>
      <c r="AB27" s="10">
        <f>IF(AA27=0,0,VLOOKUP(AA27,Dropdown!$U$2:$V$6,2,FALSE))</f>
        <v>0</v>
      </c>
      <c r="AC27" s="20"/>
      <c r="AD27" s="10">
        <f>IF(AC27=0,0,VLOOKUP(AC27,Dropdown!$U$2:$V$6,2,FALSE))</f>
        <v>0</v>
      </c>
      <c r="AE27" s="20"/>
      <c r="AF27" s="10">
        <f>IF(AE27=0,0,VLOOKUP(AE27,Dropdown!$U$2:$V$6,2,FALSE))</f>
        <v>0</v>
      </c>
      <c r="AG27" s="20"/>
      <c r="AH27" s="10">
        <f>IF(AG27=0,0,VLOOKUP(AG27,Dropdown!$U$2:$V$6,2,FALSE))</f>
        <v>0</v>
      </c>
      <c r="AI27" s="20"/>
      <c r="AJ27" s="10">
        <f>IF(AI27=0,0,VLOOKUP(AI27,Dropdown!$U$2:$V$6,2,FALSE))</f>
        <v>0</v>
      </c>
      <c r="AK27" s="20"/>
      <c r="AL27" s="10">
        <f>IF(AK27=0,0,VLOOKUP(AK27,Dropdown!$U$2:$V$6,2,FALSE))</f>
        <v>0</v>
      </c>
      <c r="AM27" s="20"/>
      <c r="AN27" s="10">
        <f>IF(AM27=0,0,VLOOKUP(AM27,Dropdown!$U$2:$V$6,2,FALSE))</f>
        <v>0</v>
      </c>
      <c r="AO27" s="20"/>
      <c r="AP27" s="20"/>
      <c r="AQ27" s="10">
        <f>IF(AP27="",0,VLOOKUP(AP27,Dropdown!$U$2:$V$6,2,FALSE))</f>
        <v>0</v>
      </c>
      <c r="AR27" s="20"/>
      <c r="AS27" s="10">
        <f>IF(AR27="",0,VLOOKUP(AR27,Dropdown!$U$2:$V$6,2,FALSE))</f>
        <v>0</v>
      </c>
      <c r="AT27" s="20"/>
      <c r="AU27" s="10">
        <f>IF(AT27="",0,VLOOKUP(AT27,Dropdown!$U$2:$V$6,2,FALSE))</f>
        <v>0</v>
      </c>
      <c r="AV27" s="20"/>
      <c r="AW27" s="10">
        <f>IF(AV27="",0,VLOOKUP(AV27,Dropdown!$U$2:$V$6,2,FALSE))</f>
        <v>0</v>
      </c>
      <c r="AX27" s="20"/>
      <c r="AY27" s="10">
        <f>IF(AX27="",0,VLOOKUP(AX27,Dropdown!$U$2:$V$6,2,FALSE))</f>
        <v>0</v>
      </c>
      <c r="AZ27" s="20"/>
      <c r="BA27" s="10">
        <f>IF(AZ27="",0,VLOOKUP(AZ27,Dropdown!$U$2:$V$6,2,FALSE))</f>
        <v>0</v>
      </c>
      <c r="BB27" s="20"/>
      <c r="BC27" s="10">
        <f>IF(BB27="",0,VLOOKUP(BB27,Dropdown!$U$2:$V$6,2,FALSE))</f>
        <v>0</v>
      </c>
      <c r="BD27" s="20"/>
      <c r="BE27" s="10">
        <f>IF(BD27="",0,VLOOKUP(BD27,Dropdown!$U$2:$V$6,2,FALSE))</f>
        <v>0</v>
      </c>
    </row>
    <row r="28" spans="1:57" ht="28.8" x14ac:dyDescent="0.3">
      <c r="A28" s="32" t="s">
        <v>51</v>
      </c>
      <c r="B28" s="10">
        <f>VLOOKUP(A28,Vulnerabilty!$B$3:$C$56,2,FALSE)</f>
        <v>0</v>
      </c>
      <c r="C28" s="10"/>
      <c r="D28" s="40"/>
      <c r="E28" s="20" t="s">
        <v>113</v>
      </c>
      <c r="F28" s="10">
        <f>IF(E28=0,0,VLOOKUP(E28,Dropdown!$A$1:$B$7,2,FALSE))</f>
        <v>0</v>
      </c>
      <c r="G28" s="20" t="s">
        <v>114</v>
      </c>
      <c r="H28" s="10">
        <f>IF(G28=0,0,VLOOKUP(G28,Dropdown!$C$2:$D$7,2,FALSE))</f>
        <v>0</v>
      </c>
      <c r="I28" s="20" t="s">
        <v>107</v>
      </c>
      <c r="J28" s="10" t="e">
        <f>IF('Hazard information'!I28=0,0,VLOOKUP(I28,Dropdown!$K$2:$L$7,2,FALSE))</f>
        <v>#N/A</v>
      </c>
      <c r="K28" s="20" t="s">
        <v>107</v>
      </c>
      <c r="L28" s="10" t="e">
        <f>IF(K28=0,0,VLOOKUP(K28,Dropdown!$E$2:$F$7,2,FALSE))</f>
        <v>#N/A</v>
      </c>
      <c r="M28" s="20" t="s">
        <v>108</v>
      </c>
      <c r="N28" s="10">
        <f>IF(M28=0,0,VLOOKUP(M28,Dropdown!$G$2:$H$7,2,FALSE))</f>
        <v>0</v>
      </c>
      <c r="O28" s="20" t="s">
        <v>109</v>
      </c>
      <c r="P28" s="10">
        <f>IF('Hazard information'!O28=0,0,VLOOKUP(O28,Dropdown!$I$1:$J$7,2,FALSE))</f>
        <v>0</v>
      </c>
      <c r="Q28" s="20" t="s">
        <v>110</v>
      </c>
      <c r="R28" s="10">
        <f>IF(Q28=0,0,VLOOKUP(Q28,Dropdown!$M$2:$N$7,2,FALSE))</f>
        <v>0</v>
      </c>
      <c r="S28" s="20" t="s">
        <v>111</v>
      </c>
      <c r="T28" s="10">
        <f>IF(S28=0,0,VLOOKUP(S28,Dropdown!$O$2:$P$7,2,FALSE))</f>
        <v>0</v>
      </c>
      <c r="U28" s="20" t="s">
        <v>108</v>
      </c>
      <c r="V28" s="10">
        <f>IF(U28=0,0,VLOOKUP(U28,Dropdown!$Q$2:$R$7,2,FALSE))</f>
        <v>0</v>
      </c>
      <c r="W28" s="20" t="s">
        <v>112</v>
      </c>
      <c r="X28" s="10">
        <f>IF(W28=0,0,VLOOKUP(W28,Dropdown!$S$2:$T$7,2,FALSE))</f>
        <v>0</v>
      </c>
      <c r="Y28" s="20"/>
      <c r="Z28" s="10">
        <f>IF(Y28=0,0,VLOOKUP(Y28,Dropdown!$U$2:$V$6,2,FALSE))</f>
        <v>0</v>
      </c>
      <c r="AA28" s="20"/>
      <c r="AB28" s="10">
        <f>IF(AA28=0,0,VLOOKUP(AA28,Dropdown!$U$2:$V$6,2,FALSE))</f>
        <v>0</v>
      </c>
      <c r="AC28" s="20"/>
      <c r="AD28" s="10">
        <f>IF(AC28=0,0,VLOOKUP(AC28,Dropdown!$U$2:$V$6,2,FALSE))</f>
        <v>0</v>
      </c>
      <c r="AE28" s="20"/>
      <c r="AF28" s="10">
        <f>IF(AE28=0,0,VLOOKUP(AE28,Dropdown!$U$2:$V$6,2,FALSE))</f>
        <v>0</v>
      </c>
      <c r="AG28" s="20"/>
      <c r="AH28" s="10">
        <f>IF(AG28=0,0,VLOOKUP(AG28,Dropdown!$U$2:$V$6,2,FALSE))</f>
        <v>0</v>
      </c>
      <c r="AI28" s="20"/>
      <c r="AJ28" s="10">
        <f>IF(AI28=0,0,VLOOKUP(AI28,Dropdown!$U$2:$V$6,2,FALSE))</f>
        <v>0</v>
      </c>
      <c r="AK28" s="20"/>
      <c r="AL28" s="10">
        <f>IF(AK28=0,0,VLOOKUP(AK28,Dropdown!$U$2:$V$6,2,FALSE))</f>
        <v>0</v>
      </c>
      <c r="AM28" s="20"/>
      <c r="AN28" s="10">
        <f>IF(AM28=0,0,VLOOKUP(AM28,Dropdown!$U$2:$V$6,2,FALSE))</f>
        <v>0</v>
      </c>
      <c r="AO28" s="20"/>
      <c r="AP28" s="20"/>
      <c r="AQ28" s="10">
        <f>IF(AP28="",0,VLOOKUP(AP28,Dropdown!$U$2:$V$6,2,FALSE))</f>
        <v>0</v>
      </c>
      <c r="AR28" s="20"/>
      <c r="AS28" s="10">
        <f>IF(AR28="",0,VLOOKUP(AR28,Dropdown!$U$2:$V$6,2,FALSE))</f>
        <v>0</v>
      </c>
      <c r="AT28" s="20"/>
      <c r="AU28" s="10">
        <f>IF(AT28="",0,VLOOKUP(AT28,Dropdown!$U$2:$V$6,2,FALSE))</f>
        <v>0</v>
      </c>
      <c r="AV28" s="20"/>
      <c r="AW28" s="10">
        <f>IF(AV28="",0,VLOOKUP(AV28,Dropdown!$U$2:$V$6,2,FALSE))</f>
        <v>0</v>
      </c>
      <c r="AX28" s="20"/>
      <c r="AY28" s="10">
        <f>IF(AX28="",0,VLOOKUP(AX28,Dropdown!$U$2:$V$6,2,FALSE))</f>
        <v>0</v>
      </c>
      <c r="AZ28" s="20"/>
      <c r="BA28" s="10">
        <f>IF(AZ28="",0,VLOOKUP(AZ28,Dropdown!$U$2:$V$6,2,FALSE))</f>
        <v>0</v>
      </c>
      <c r="BB28" s="20"/>
      <c r="BC28" s="10">
        <f>IF(BB28="",0,VLOOKUP(BB28,Dropdown!$U$2:$V$6,2,FALSE))</f>
        <v>0</v>
      </c>
      <c r="BD28" s="20"/>
      <c r="BE28" s="10">
        <f>IF(BD28="",0,VLOOKUP(BD28,Dropdown!$U$2:$V$6,2,FALSE))</f>
        <v>0</v>
      </c>
    </row>
    <row r="29" spans="1:57" ht="14.4" customHeight="1" x14ac:dyDescent="0.3">
      <c r="A29" s="32" t="s">
        <v>52</v>
      </c>
      <c r="B29" s="10">
        <f>VLOOKUP(A29,Vulnerabilty!$B$3:$C$56,2,FALSE)</f>
        <v>0</v>
      </c>
      <c r="C29" s="10"/>
      <c r="D29" s="10"/>
      <c r="E29" s="20" t="s">
        <v>113</v>
      </c>
      <c r="F29" s="10">
        <f>IF(E29=0,0,VLOOKUP(E29,Dropdown!$A$1:$B$7,2,FALSE))</f>
        <v>0</v>
      </c>
      <c r="G29" s="20" t="s">
        <v>114</v>
      </c>
      <c r="H29" s="10">
        <f>IF(G29=0,0,VLOOKUP(G29,Dropdown!$C$2:$D$7,2,FALSE))</f>
        <v>0</v>
      </c>
      <c r="I29" s="20" t="s">
        <v>107</v>
      </c>
      <c r="J29" s="10" t="e">
        <f>IF('Hazard information'!I29=0,0,VLOOKUP(I29,Dropdown!$K$2:$L$7,2,FALSE))</f>
        <v>#N/A</v>
      </c>
      <c r="K29" s="20" t="s">
        <v>107</v>
      </c>
      <c r="L29" s="10" t="e">
        <f>IF(K29=0,0,VLOOKUP(K29,Dropdown!$E$2:$F$7,2,FALSE))</f>
        <v>#N/A</v>
      </c>
      <c r="M29" s="20" t="s">
        <v>108</v>
      </c>
      <c r="N29" s="10">
        <f>IF(M29=0,0,VLOOKUP(M29,Dropdown!$G$2:$H$7,2,FALSE))</f>
        <v>0</v>
      </c>
      <c r="O29" s="20" t="s">
        <v>109</v>
      </c>
      <c r="P29" s="10">
        <f>IF('Hazard information'!O29=0,0,VLOOKUP(O29,Dropdown!$I$1:$J$7,2,FALSE))</f>
        <v>0</v>
      </c>
      <c r="Q29" s="20" t="s">
        <v>110</v>
      </c>
      <c r="R29" s="10">
        <f>IF(Q29=0,0,VLOOKUP(Q29,Dropdown!$M$2:$N$7,2,FALSE))</f>
        <v>0</v>
      </c>
      <c r="S29" s="20" t="s">
        <v>111</v>
      </c>
      <c r="T29" s="10">
        <f>IF(S29=0,0,VLOOKUP(S29,Dropdown!$O$2:$P$7,2,FALSE))</f>
        <v>0</v>
      </c>
      <c r="U29" s="20" t="s">
        <v>108</v>
      </c>
      <c r="V29" s="10">
        <f>IF(U29=0,0,VLOOKUP(U29,Dropdown!$Q$2:$R$7,2,FALSE))</f>
        <v>0</v>
      </c>
      <c r="W29" s="20" t="s">
        <v>112</v>
      </c>
      <c r="X29" s="10">
        <f>IF(W29=0,0,VLOOKUP(W29,Dropdown!$S$2:$T$7,2,FALSE))</f>
        <v>0</v>
      </c>
      <c r="Y29" s="20"/>
      <c r="Z29" s="10">
        <f>IF(Y29=0,0,VLOOKUP(Y29,Dropdown!$U$2:$V$6,2,FALSE))</f>
        <v>0</v>
      </c>
      <c r="AA29" s="20"/>
      <c r="AB29" s="10">
        <f>IF(AA29=0,0,VLOOKUP(AA29,Dropdown!$U$2:$V$6,2,FALSE))</f>
        <v>0</v>
      </c>
      <c r="AC29" s="20"/>
      <c r="AD29" s="10">
        <f>IF(AC29=0,0,VLOOKUP(AC29,Dropdown!$U$2:$V$6,2,FALSE))</f>
        <v>0</v>
      </c>
      <c r="AE29" s="20"/>
      <c r="AF29" s="10">
        <f>IF(AE29=0,0,VLOOKUP(AE29,Dropdown!$U$2:$V$6,2,FALSE))</f>
        <v>0</v>
      </c>
      <c r="AG29" s="20"/>
      <c r="AH29" s="10">
        <f>IF(AG29=0,0,VLOOKUP(AG29,Dropdown!$U$2:$V$6,2,FALSE))</f>
        <v>0</v>
      </c>
      <c r="AI29" s="20"/>
      <c r="AJ29" s="10">
        <f>IF(AI29=0,0,VLOOKUP(AI29,Dropdown!$U$2:$V$6,2,FALSE))</f>
        <v>0</v>
      </c>
      <c r="AK29" s="20"/>
      <c r="AL29" s="10">
        <f>IF(AK29=0,0,VLOOKUP(AK29,Dropdown!$U$2:$V$6,2,FALSE))</f>
        <v>0</v>
      </c>
      <c r="AM29" s="20"/>
      <c r="AN29" s="10">
        <f>IF(AM29=0,0,VLOOKUP(AM29,Dropdown!$U$2:$V$6,2,FALSE))</f>
        <v>0</v>
      </c>
      <c r="AO29" s="20"/>
      <c r="AP29" s="20"/>
      <c r="AQ29" s="10">
        <f>IF(AP29="",0,VLOOKUP(AP29,Dropdown!$U$2:$V$6,2,FALSE))</f>
        <v>0</v>
      </c>
      <c r="AR29" s="20"/>
      <c r="AS29" s="10">
        <f>IF(AR29="",0,VLOOKUP(AR29,Dropdown!$U$2:$V$6,2,FALSE))</f>
        <v>0</v>
      </c>
      <c r="AT29" s="20"/>
      <c r="AU29" s="10">
        <f>IF(AT29="",0,VLOOKUP(AT29,Dropdown!$U$2:$V$6,2,FALSE))</f>
        <v>0</v>
      </c>
      <c r="AV29" s="20"/>
      <c r="AW29" s="10">
        <f>IF(AV29="",0,VLOOKUP(AV29,Dropdown!$U$2:$V$6,2,FALSE))</f>
        <v>0</v>
      </c>
      <c r="AX29" s="20"/>
      <c r="AY29" s="10">
        <f>IF(AX29="",0,VLOOKUP(AX29,Dropdown!$U$2:$V$6,2,FALSE))</f>
        <v>0</v>
      </c>
      <c r="AZ29" s="20"/>
      <c r="BA29" s="10">
        <f>IF(AZ29="",0,VLOOKUP(AZ29,Dropdown!$U$2:$V$6,2,FALSE))</f>
        <v>0</v>
      </c>
      <c r="BB29" s="20"/>
      <c r="BC29" s="10">
        <f>IF(BB29="",0,VLOOKUP(BB29,Dropdown!$U$2:$V$6,2,FALSE))</f>
        <v>0</v>
      </c>
      <c r="BD29" s="20"/>
      <c r="BE29" s="10">
        <f>IF(BD29="",0,VLOOKUP(BD29,Dropdown!$U$2:$V$6,2,FALSE))</f>
        <v>0</v>
      </c>
    </row>
    <row r="30" spans="1:57" ht="14.4" customHeight="1" x14ac:dyDescent="0.3">
      <c r="A30" s="32" t="s">
        <v>53</v>
      </c>
      <c r="B30" s="10">
        <f>VLOOKUP(A30,Vulnerabilty!$B$3:$C$56,2,FALSE)</f>
        <v>0</v>
      </c>
      <c r="C30" s="10"/>
      <c r="D30" s="10"/>
      <c r="E30" s="20" t="s">
        <v>113</v>
      </c>
      <c r="F30" s="10">
        <f>IF(E30=0,0,VLOOKUP(E30,Dropdown!$A$1:$B$7,2,FALSE))</f>
        <v>0</v>
      </c>
      <c r="G30" s="20" t="s">
        <v>114</v>
      </c>
      <c r="H30" s="10">
        <f>IF(G30=0,0,VLOOKUP(G30,Dropdown!$C$2:$D$7,2,FALSE))</f>
        <v>0</v>
      </c>
      <c r="I30" s="20" t="s">
        <v>107</v>
      </c>
      <c r="J30" s="10" t="e">
        <f>IF('Hazard information'!I30=0,0,VLOOKUP(I30,Dropdown!$K$2:$L$7,2,FALSE))</f>
        <v>#N/A</v>
      </c>
      <c r="K30" s="20" t="s">
        <v>107</v>
      </c>
      <c r="L30" s="10" t="e">
        <f>IF(K30=0,0,VLOOKUP(K30,Dropdown!$E$2:$F$7,2,FALSE))</f>
        <v>#N/A</v>
      </c>
      <c r="M30" s="20" t="s">
        <v>108</v>
      </c>
      <c r="N30" s="10">
        <f>IF(M30=0,0,VLOOKUP(M30,Dropdown!$G$2:$H$7,2,FALSE))</f>
        <v>0</v>
      </c>
      <c r="O30" s="20" t="s">
        <v>109</v>
      </c>
      <c r="P30" s="10">
        <f>IF('Hazard information'!O30=0,0,VLOOKUP(O30,Dropdown!$I$1:$J$7,2,FALSE))</f>
        <v>0</v>
      </c>
      <c r="Q30" s="20" t="s">
        <v>110</v>
      </c>
      <c r="R30" s="10">
        <f>IF(Q30=0,0,VLOOKUP(Q30,Dropdown!$M$2:$N$7,2,FALSE))</f>
        <v>0</v>
      </c>
      <c r="S30" s="20" t="s">
        <v>111</v>
      </c>
      <c r="T30" s="10">
        <f>IF(S30=0,0,VLOOKUP(S30,Dropdown!$O$2:$P$7,2,FALSE))</f>
        <v>0</v>
      </c>
      <c r="U30" s="20" t="s">
        <v>108</v>
      </c>
      <c r="V30" s="10">
        <f>IF(U30=0,0,VLOOKUP(U30,Dropdown!$Q$2:$R$7,2,FALSE))</f>
        <v>0</v>
      </c>
      <c r="W30" s="20" t="s">
        <v>112</v>
      </c>
      <c r="X30" s="10">
        <f>IF(W30=0,0,VLOOKUP(W30,Dropdown!$S$2:$T$7,2,FALSE))</f>
        <v>0</v>
      </c>
      <c r="Y30" s="20"/>
      <c r="Z30" s="10">
        <f>IF(Y30=0,0,VLOOKUP(Y30,Dropdown!$U$2:$V$6,2,FALSE))</f>
        <v>0</v>
      </c>
      <c r="AA30" s="20"/>
      <c r="AB30" s="10">
        <f>IF(AA30=0,0,VLOOKUP(AA30,Dropdown!$U$2:$V$6,2,FALSE))</f>
        <v>0</v>
      </c>
      <c r="AC30" s="20"/>
      <c r="AD30" s="10">
        <f>IF(AC30=0,0,VLOOKUP(AC30,Dropdown!$U$2:$V$6,2,FALSE))</f>
        <v>0</v>
      </c>
      <c r="AE30" s="20"/>
      <c r="AF30" s="10">
        <f>IF(AE30=0,0,VLOOKUP(AE30,Dropdown!$U$2:$V$6,2,FALSE))</f>
        <v>0</v>
      </c>
      <c r="AG30" s="20"/>
      <c r="AH30" s="10">
        <f>IF(AG30=0,0,VLOOKUP(AG30,Dropdown!$U$2:$V$6,2,FALSE))</f>
        <v>0</v>
      </c>
      <c r="AI30" s="20"/>
      <c r="AJ30" s="10">
        <f>IF(AI30=0,0,VLOOKUP(AI30,Dropdown!$U$2:$V$6,2,FALSE))</f>
        <v>0</v>
      </c>
      <c r="AK30" s="20"/>
      <c r="AL30" s="10">
        <f>IF(AK30=0,0,VLOOKUP(AK30,Dropdown!$U$2:$V$6,2,FALSE))</f>
        <v>0</v>
      </c>
      <c r="AM30" s="20"/>
      <c r="AN30" s="10">
        <f>IF(AM30=0,0,VLOOKUP(AM30,Dropdown!$U$2:$V$6,2,FALSE))</f>
        <v>0</v>
      </c>
      <c r="AO30" s="20"/>
      <c r="AP30" s="20"/>
      <c r="AQ30" s="10">
        <f>IF(AP30="",0,VLOOKUP(AP30,Dropdown!$U$2:$V$6,2,FALSE))</f>
        <v>0</v>
      </c>
      <c r="AR30" s="20"/>
      <c r="AS30" s="10">
        <f>IF(AR30="",0,VLOOKUP(AR30,Dropdown!$U$2:$V$6,2,FALSE))</f>
        <v>0</v>
      </c>
      <c r="AT30" s="20"/>
      <c r="AU30" s="10">
        <f>IF(AT30="",0,VLOOKUP(AT30,Dropdown!$U$2:$V$6,2,FALSE))</f>
        <v>0</v>
      </c>
      <c r="AV30" s="20"/>
      <c r="AW30" s="10">
        <f>IF(AV30="",0,VLOOKUP(AV30,Dropdown!$U$2:$V$6,2,FALSE))</f>
        <v>0</v>
      </c>
      <c r="AX30" s="20"/>
      <c r="AY30" s="10">
        <f>IF(AX30="",0,VLOOKUP(AX30,Dropdown!$U$2:$V$6,2,FALSE))</f>
        <v>0</v>
      </c>
      <c r="AZ30" s="20"/>
      <c r="BA30" s="10">
        <f>IF(AZ30="",0,VLOOKUP(AZ30,Dropdown!$U$2:$V$6,2,FALSE))</f>
        <v>0</v>
      </c>
      <c r="BB30" s="20"/>
      <c r="BC30" s="10">
        <f>IF(BB30="",0,VLOOKUP(BB30,Dropdown!$U$2:$V$6,2,FALSE))</f>
        <v>0</v>
      </c>
      <c r="BD30" s="20"/>
      <c r="BE30" s="10">
        <f>IF(BD30="",0,VLOOKUP(BD30,Dropdown!$U$2:$V$6,2,FALSE))</f>
        <v>0</v>
      </c>
    </row>
    <row r="31" spans="1:57" ht="14.4" customHeight="1" x14ac:dyDescent="0.3">
      <c r="A31" s="32" t="s">
        <v>54</v>
      </c>
      <c r="B31" s="10">
        <f>VLOOKUP(A31,Vulnerabilty!$B$3:$C$56,2,FALSE)</f>
        <v>0</v>
      </c>
      <c r="C31" s="10"/>
      <c r="D31" s="10"/>
      <c r="E31" s="20" t="s">
        <v>113</v>
      </c>
      <c r="F31" s="10">
        <f>IF(E31=0,0,VLOOKUP(E31,Dropdown!$A$1:$B$7,2,FALSE))</f>
        <v>0</v>
      </c>
      <c r="G31" s="20" t="s">
        <v>114</v>
      </c>
      <c r="H31" s="10">
        <f>IF(G31=0,0,VLOOKUP(G31,Dropdown!$C$2:$D$7,2,FALSE))</f>
        <v>0</v>
      </c>
      <c r="I31" s="20" t="s">
        <v>107</v>
      </c>
      <c r="J31" s="10" t="e">
        <f>IF('Hazard information'!I31=0,0,VLOOKUP(I31,Dropdown!$K$2:$L$7,2,FALSE))</f>
        <v>#N/A</v>
      </c>
      <c r="K31" s="20" t="s">
        <v>107</v>
      </c>
      <c r="L31" s="10" t="e">
        <f>IF(K31=0,0,VLOOKUP(K31,Dropdown!$E$2:$F$7,2,FALSE))</f>
        <v>#N/A</v>
      </c>
      <c r="M31" s="20" t="s">
        <v>108</v>
      </c>
      <c r="N31" s="10">
        <f>IF(M31=0,0,VLOOKUP(M31,Dropdown!$G$2:$H$7,2,FALSE))</f>
        <v>0</v>
      </c>
      <c r="O31" s="20" t="s">
        <v>109</v>
      </c>
      <c r="P31" s="10">
        <f>IF('Hazard information'!O31=0,0,VLOOKUP(O31,Dropdown!$I$1:$J$7,2,FALSE))</f>
        <v>0</v>
      </c>
      <c r="Q31" s="20" t="s">
        <v>110</v>
      </c>
      <c r="R31" s="10">
        <f>IF(Q31=0,0,VLOOKUP(Q31,Dropdown!$M$2:$N$7,2,FALSE))</f>
        <v>0</v>
      </c>
      <c r="S31" s="20" t="s">
        <v>111</v>
      </c>
      <c r="T31" s="10">
        <f>IF(S31=0,0,VLOOKUP(S31,Dropdown!$O$2:$P$7,2,FALSE))</f>
        <v>0</v>
      </c>
      <c r="U31" s="20" t="s">
        <v>108</v>
      </c>
      <c r="V31" s="10">
        <f>IF(U31=0,0,VLOOKUP(U31,Dropdown!$Q$2:$R$7,2,FALSE))</f>
        <v>0</v>
      </c>
      <c r="W31" s="20" t="s">
        <v>112</v>
      </c>
      <c r="X31" s="10">
        <f>IF(W31=0,0,VLOOKUP(W31,Dropdown!$S$2:$T$7,2,FALSE))</f>
        <v>0</v>
      </c>
      <c r="Y31" s="20"/>
      <c r="Z31" s="10">
        <f>IF(Y31=0,0,VLOOKUP(Y31,Dropdown!$U$2:$V$6,2,FALSE))</f>
        <v>0</v>
      </c>
      <c r="AA31" s="20"/>
      <c r="AB31" s="10">
        <f>IF(AA31=0,0,VLOOKUP(AA31,Dropdown!$U$2:$V$6,2,FALSE))</f>
        <v>0</v>
      </c>
      <c r="AC31" s="20"/>
      <c r="AD31" s="10">
        <f>IF(AC31=0,0,VLOOKUP(AC31,Dropdown!$U$2:$V$6,2,FALSE))</f>
        <v>0</v>
      </c>
      <c r="AE31" s="20"/>
      <c r="AF31" s="10">
        <f>IF(AE31=0,0,VLOOKUP(AE31,Dropdown!$U$2:$V$6,2,FALSE))</f>
        <v>0</v>
      </c>
      <c r="AG31" s="20"/>
      <c r="AH31" s="10">
        <f>IF(AG31=0,0,VLOOKUP(AG31,Dropdown!$U$2:$V$6,2,FALSE))</f>
        <v>0</v>
      </c>
      <c r="AI31" s="20"/>
      <c r="AJ31" s="10">
        <f>IF(AI31=0,0,VLOOKUP(AI31,Dropdown!$U$2:$V$6,2,FALSE))</f>
        <v>0</v>
      </c>
      <c r="AK31" s="20"/>
      <c r="AL31" s="10">
        <f>IF(AK31=0,0,VLOOKUP(AK31,Dropdown!$U$2:$V$6,2,FALSE))</f>
        <v>0</v>
      </c>
      <c r="AM31" s="20"/>
      <c r="AN31" s="10">
        <f>IF(AM31=0,0,VLOOKUP(AM31,Dropdown!$U$2:$V$6,2,FALSE))</f>
        <v>0</v>
      </c>
      <c r="AO31" s="20"/>
      <c r="AP31" s="20"/>
      <c r="AQ31" s="10">
        <f>IF(AP31="",0,VLOOKUP(AP31,Dropdown!$U$2:$V$6,2,FALSE))</f>
        <v>0</v>
      </c>
      <c r="AR31" s="20"/>
      <c r="AS31" s="10">
        <f>IF(AR31="",0,VLOOKUP(AR31,Dropdown!$U$2:$V$6,2,FALSE))</f>
        <v>0</v>
      </c>
      <c r="AT31" s="20"/>
      <c r="AU31" s="10">
        <f>IF(AT31="",0,VLOOKUP(AT31,Dropdown!$U$2:$V$6,2,FALSE))</f>
        <v>0</v>
      </c>
      <c r="AV31" s="20"/>
      <c r="AW31" s="10">
        <f>IF(AV31="",0,VLOOKUP(AV31,Dropdown!$U$2:$V$6,2,FALSE))</f>
        <v>0</v>
      </c>
      <c r="AX31" s="20"/>
      <c r="AY31" s="10">
        <f>IF(AX31="",0,VLOOKUP(AX31,Dropdown!$U$2:$V$6,2,FALSE))</f>
        <v>0</v>
      </c>
      <c r="AZ31" s="20"/>
      <c r="BA31" s="10">
        <f>IF(AZ31="",0,VLOOKUP(AZ31,Dropdown!$U$2:$V$6,2,FALSE))</f>
        <v>0</v>
      </c>
      <c r="BB31" s="20"/>
      <c r="BC31" s="10">
        <f>IF(BB31="",0,VLOOKUP(BB31,Dropdown!$U$2:$V$6,2,FALSE))</f>
        <v>0</v>
      </c>
      <c r="BD31" s="20"/>
      <c r="BE31" s="10">
        <f>IF(BD31="",0,VLOOKUP(BD31,Dropdown!$U$2:$V$6,2,FALSE))</f>
        <v>0</v>
      </c>
    </row>
    <row r="32" spans="1:57" ht="14.4" customHeight="1" x14ac:dyDescent="0.3">
      <c r="A32" s="32" t="s">
        <v>55</v>
      </c>
      <c r="B32" s="10">
        <f>VLOOKUP(A32,Vulnerabilty!$B$3:$C$56,2,FALSE)</f>
        <v>0</v>
      </c>
      <c r="C32" s="10"/>
      <c r="D32" s="10"/>
      <c r="E32" s="20" t="s">
        <v>113</v>
      </c>
      <c r="F32" s="10">
        <f>IF(E32=0,0,VLOOKUP(E32,Dropdown!$A$1:$B$7,2,FALSE))</f>
        <v>0</v>
      </c>
      <c r="G32" s="20" t="s">
        <v>114</v>
      </c>
      <c r="H32" s="10">
        <f>IF(G32=0,0,VLOOKUP(G32,Dropdown!$C$2:$D$7,2,FALSE))</f>
        <v>0</v>
      </c>
      <c r="I32" s="20" t="s">
        <v>107</v>
      </c>
      <c r="J32" s="10" t="e">
        <f>IF('Hazard information'!I32=0,0,VLOOKUP(I32,Dropdown!$K$2:$L$7,2,FALSE))</f>
        <v>#N/A</v>
      </c>
      <c r="K32" s="20" t="s">
        <v>107</v>
      </c>
      <c r="L32" s="10" t="e">
        <f>IF(K32=0,0,VLOOKUP(K32,Dropdown!$E$2:$F$7,2,FALSE))</f>
        <v>#N/A</v>
      </c>
      <c r="M32" s="20" t="s">
        <v>108</v>
      </c>
      <c r="N32" s="10">
        <f>IF(M32=0,0,VLOOKUP(M32,Dropdown!$G$2:$H$7,2,FALSE))</f>
        <v>0</v>
      </c>
      <c r="O32" s="20" t="s">
        <v>109</v>
      </c>
      <c r="P32" s="10">
        <f>IF('Hazard information'!O32=0,0,VLOOKUP(O32,Dropdown!$I$1:$J$7,2,FALSE))</f>
        <v>0</v>
      </c>
      <c r="Q32" s="20" t="s">
        <v>110</v>
      </c>
      <c r="R32" s="10">
        <f>IF(Q32=0,0,VLOOKUP(Q32,Dropdown!$M$2:$N$7,2,FALSE))</f>
        <v>0</v>
      </c>
      <c r="S32" s="20" t="s">
        <v>111</v>
      </c>
      <c r="T32" s="10">
        <f>IF(S32=0,0,VLOOKUP(S32,Dropdown!$O$2:$P$7,2,FALSE))</f>
        <v>0</v>
      </c>
      <c r="U32" s="20" t="s">
        <v>108</v>
      </c>
      <c r="V32" s="10">
        <f>IF(U32=0,0,VLOOKUP(U32,Dropdown!$Q$2:$R$7,2,FALSE))</f>
        <v>0</v>
      </c>
      <c r="W32" s="20" t="s">
        <v>112</v>
      </c>
      <c r="X32" s="10">
        <f>IF(W32=0,0,VLOOKUP(W32,Dropdown!$S$2:$T$7,2,FALSE))</f>
        <v>0</v>
      </c>
      <c r="Y32" s="20"/>
      <c r="Z32" s="10">
        <f>IF(Y32=0,0,VLOOKUP(Y32,Dropdown!$U$2:$V$6,2,FALSE))</f>
        <v>0</v>
      </c>
      <c r="AA32" s="20"/>
      <c r="AB32" s="10">
        <f>IF(AA32=0,0,VLOOKUP(AA32,Dropdown!$U$2:$V$6,2,FALSE))</f>
        <v>0</v>
      </c>
      <c r="AC32" s="20"/>
      <c r="AD32" s="10">
        <f>IF(AC32=0,0,VLOOKUP(AC32,Dropdown!$U$2:$V$6,2,FALSE))</f>
        <v>0</v>
      </c>
      <c r="AE32" s="20"/>
      <c r="AF32" s="10">
        <f>IF(AE32=0,0,VLOOKUP(AE32,Dropdown!$U$2:$V$6,2,FALSE))</f>
        <v>0</v>
      </c>
      <c r="AG32" s="20"/>
      <c r="AH32" s="10">
        <f>IF(AG32=0,0,VLOOKUP(AG32,Dropdown!$U$2:$V$6,2,FALSE))</f>
        <v>0</v>
      </c>
      <c r="AI32" s="20"/>
      <c r="AJ32" s="10">
        <f>IF(AI32=0,0,VLOOKUP(AI32,Dropdown!$U$2:$V$6,2,FALSE))</f>
        <v>0</v>
      </c>
      <c r="AK32" s="20"/>
      <c r="AL32" s="10">
        <f>IF(AK32=0,0,VLOOKUP(AK32,Dropdown!$U$2:$V$6,2,FALSE))</f>
        <v>0</v>
      </c>
      <c r="AM32" s="20"/>
      <c r="AN32" s="10">
        <f>IF(AM32=0,0,VLOOKUP(AM32,Dropdown!$U$2:$V$6,2,FALSE))</f>
        <v>0</v>
      </c>
      <c r="AO32" s="20"/>
      <c r="AP32" s="20"/>
      <c r="AQ32" s="10">
        <f>IF(AP32="",0,VLOOKUP(AP32,Dropdown!$U$2:$V$6,2,FALSE))</f>
        <v>0</v>
      </c>
      <c r="AR32" s="20"/>
      <c r="AS32" s="10">
        <f>IF(AR32="",0,VLOOKUP(AR32,Dropdown!$U$2:$V$6,2,FALSE))</f>
        <v>0</v>
      </c>
      <c r="AT32" s="20"/>
      <c r="AU32" s="10">
        <f>IF(AT32="",0,VLOOKUP(AT32,Dropdown!$U$2:$V$6,2,FALSE))</f>
        <v>0</v>
      </c>
      <c r="AV32" s="20"/>
      <c r="AW32" s="10">
        <f>IF(AV32="",0,VLOOKUP(AV32,Dropdown!$U$2:$V$6,2,FALSE))</f>
        <v>0</v>
      </c>
      <c r="AX32" s="20"/>
      <c r="AY32" s="10">
        <f>IF(AX32="",0,VLOOKUP(AX32,Dropdown!$U$2:$V$6,2,FALSE))</f>
        <v>0</v>
      </c>
      <c r="AZ32" s="20"/>
      <c r="BA32" s="10">
        <f>IF(AZ32="",0,VLOOKUP(AZ32,Dropdown!$U$2:$V$6,2,FALSE))</f>
        <v>0</v>
      </c>
      <c r="BB32" s="20"/>
      <c r="BC32" s="10">
        <f>IF(BB32="",0,VLOOKUP(BB32,Dropdown!$U$2:$V$6,2,FALSE))</f>
        <v>0</v>
      </c>
      <c r="BD32" s="20"/>
      <c r="BE32" s="10">
        <f>IF(BD32="",0,VLOOKUP(BD32,Dropdown!$U$2:$V$6,2,FALSE))</f>
        <v>0</v>
      </c>
    </row>
    <row r="33" spans="1:57" ht="28.95" customHeight="1" x14ac:dyDescent="0.3">
      <c r="A33" s="32" t="s">
        <v>56</v>
      </c>
      <c r="B33" s="10">
        <f>VLOOKUP(A33,Vulnerabilty!$B$3:$C$56,2,FALSE)</f>
        <v>0</v>
      </c>
      <c r="C33" s="10"/>
      <c r="D33" s="10"/>
      <c r="E33" s="20" t="s">
        <v>113</v>
      </c>
      <c r="F33" s="10">
        <f>IF(E33=0,0,VLOOKUP(E33,Dropdown!$A$1:$B$7,2,FALSE))</f>
        <v>0</v>
      </c>
      <c r="G33" s="20" t="s">
        <v>114</v>
      </c>
      <c r="H33" s="10">
        <f>IF(G33=0,0,VLOOKUP(G33,Dropdown!$C$2:$D$7,2,FALSE))</f>
        <v>0</v>
      </c>
      <c r="I33" s="20" t="s">
        <v>107</v>
      </c>
      <c r="J33" s="10" t="e">
        <f>IF('Hazard information'!I33=0,0,VLOOKUP(I33,Dropdown!$K$2:$L$7,2,FALSE))</f>
        <v>#N/A</v>
      </c>
      <c r="K33" s="20" t="s">
        <v>107</v>
      </c>
      <c r="L33" s="10" t="e">
        <f>IF(K33=0,0,VLOOKUP(K33,Dropdown!$E$2:$F$7,2,FALSE))</f>
        <v>#N/A</v>
      </c>
      <c r="M33" s="20" t="s">
        <v>108</v>
      </c>
      <c r="N33" s="10">
        <f>IF(M33=0,0,VLOOKUP(M33,Dropdown!$G$2:$H$7,2,FALSE))</f>
        <v>0</v>
      </c>
      <c r="O33" s="20" t="s">
        <v>109</v>
      </c>
      <c r="P33" s="10">
        <f>IF('Hazard information'!O33=0,0,VLOOKUP(O33,Dropdown!$I$1:$J$7,2,FALSE))</f>
        <v>0</v>
      </c>
      <c r="Q33" s="20" t="s">
        <v>110</v>
      </c>
      <c r="R33" s="10">
        <f>IF(Q33=0,0,VLOOKUP(Q33,Dropdown!$M$2:$N$7,2,FALSE))</f>
        <v>0</v>
      </c>
      <c r="S33" s="20" t="s">
        <v>111</v>
      </c>
      <c r="T33" s="10">
        <f>IF(S33=0,0,VLOOKUP(S33,Dropdown!$O$2:$P$7,2,FALSE))</f>
        <v>0</v>
      </c>
      <c r="U33" s="20" t="s">
        <v>108</v>
      </c>
      <c r="V33" s="10">
        <f>IF(U33=0,0,VLOOKUP(U33,Dropdown!$Q$2:$R$7,2,FALSE))</f>
        <v>0</v>
      </c>
      <c r="W33" s="20" t="s">
        <v>112</v>
      </c>
      <c r="X33" s="10">
        <f>IF(W33=0,0,VLOOKUP(W33,Dropdown!$S$2:$T$7,2,FALSE))</f>
        <v>0</v>
      </c>
      <c r="Y33" s="20"/>
      <c r="Z33" s="10">
        <f>IF(Y33=0,0,VLOOKUP(Y33,Dropdown!$U$2:$V$6,2,FALSE))</f>
        <v>0</v>
      </c>
      <c r="AA33" s="20"/>
      <c r="AB33" s="10">
        <f>IF(AA33=0,0,VLOOKUP(AA33,Dropdown!$U$2:$V$6,2,FALSE))</f>
        <v>0</v>
      </c>
      <c r="AC33" s="20"/>
      <c r="AD33" s="10">
        <f>IF(AC33=0,0,VLOOKUP(AC33,Dropdown!$U$2:$V$6,2,FALSE))</f>
        <v>0</v>
      </c>
      <c r="AE33" s="20"/>
      <c r="AF33" s="10">
        <f>IF(AE33=0,0,VLOOKUP(AE33,Dropdown!$U$2:$V$6,2,FALSE))</f>
        <v>0</v>
      </c>
      <c r="AG33" s="20"/>
      <c r="AH33" s="10">
        <f>IF(AG33=0,0,VLOOKUP(AG33,Dropdown!$U$2:$V$6,2,FALSE))</f>
        <v>0</v>
      </c>
      <c r="AI33" s="20"/>
      <c r="AJ33" s="10">
        <f>IF(AI33=0,0,VLOOKUP(AI33,Dropdown!$U$2:$V$6,2,FALSE))</f>
        <v>0</v>
      </c>
      <c r="AK33" s="20"/>
      <c r="AL33" s="10">
        <f>IF(AK33=0,0,VLOOKUP(AK33,Dropdown!$U$2:$V$6,2,FALSE))</f>
        <v>0</v>
      </c>
      <c r="AM33" s="20"/>
      <c r="AN33" s="10">
        <f>IF(AM33=0,0,VLOOKUP(AM33,Dropdown!$U$2:$V$6,2,FALSE))</f>
        <v>0</v>
      </c>
      <c r="AO33" s="20"/>
      <c r="AP33" s="20"/>
      <c r="AQ33" s="10">
        <f>IF(AP33="",0,VLOOKUP(AP33,Dropdown!$U$2:$V$6,2,FALSE))</f>
        <v>0</v>
      </c>
      <c r="AR33" s="20"/>
      <c r="AS33" s="10">
        <f>IF(AR33="",0,VLOOKUP(AR33,Dropdown!$U$2:$V$6,2,FALSE))</f>
        <v>0</v>
      </c>
      <c r="AT33" s="20"/>
      <c r="AU33" s="10">
        <f>IF(AT33="",0,VLOOKUP(AT33,Dropdown!$U$2:$V$6,2,FALSE))</f>
        <v>0</v>
      </c>
      <c r="AV33" s="20"/>
      <c r="AW33" s="10">
        <f>IF(AV33="",0,VLOOKUP(AV33,Dropdown!$U$2:$V$6,2,FALSE))</f>
        <v>0</v>
      </c>
      <c r="AX33" s="20"/>
      <c r="AY33" s="10">
        <f>IF(AX33="",0,VLOOKUP(AX33,Dropdown!$U$2:$V$6,2,FALSE))</f>
        <v>0</v>
      </c>
      <c r="AZ33" s="20"/>
      <c r="BA33" s="10">
        <f>IF(AZ33="",0,VLOOKUP(AZ33,Dropdown!$U$2:$V$6,2,FALSE))</f>
        <v>0</v>
      </c>
      <c r="BB33" s="20"/>
      <c r="BC33" s="10">
        <f>IF(BB33="",0,VLOOKUP(BB33,Dropdown!$U$2:$V$6,2,FALSE))</f>
        <v>0</v>
      </c>
      <c r="BD33" s="20"/>
      <c r="BE33" s="10">
        <f>IF(BD33="",0,VLOOKUP(BD33,Dropdown!$U$2:$V$6,2,FALSE))</f>
        <v>0</v>
      </c>
    </row>
    <row r="34" spans="1:57" ht="14.4" customHeight="1" x14ac:dyDescent="0.3">
      <c r="A34" s="32" t="s">
        <v>57</v>
      </c>
      <c r="B34" s="10">
        <f>VLOOKUP(A34,Vulnerabilty!$B$3:$C$56,2,FALSE)</f>
        <v>0</v>
      </c>
      <c r="C34" s="10"/>
      <c r="D34" s="10"/>
      <c r="E34" s="20" t="s">
        <v>113</v>
      </c>
      <c r="F34" s="10">
        <f>IF(E34=0,0,VLOOKUP(E34,Dropdown!$A$1:$B$7,2,FALSE))</f>
        <v>0</v>
      </c>
      <c r="G34" s="20" t="s">
        <v>114</v>
      </c>
      <c r="H34" s="10">
        <f>IF(G34=0,0,VLOOKUP(G34,Dropdown!$C$2:$D$7,2,FALSE))</f>
        <v>0</v>
      </c>
      <c r="I34" s="20" t="s">
        <v>107</v>
      </c>
      <c r="J34" s="10" t="e">
        <f>IF('Hazard information'!I34=0,0,VLOOKUP(I34,Dropdown!$K$2:$L$7,2,FALSE))</f>
        <v>#N/A</v>
      </c>
      <c r="K34" s="20" t="s">
        <v>107</v>
      </c>
      <c r="L34" s="10" t="e">
        <f>IF(K34=0,0,VLOOKUP(K34,Dropdown!$E$2:$F$7,2,FALSE))</f>
        <v>#N/A</v>
      </c>
      <c r="M34" s="20" t="s">
        <v>108</v>
      </c>
      <c r="N34" s="10">
        <f>IF(M34=0,0,VLOOKUP(M34,Dropdown!$G$2:$H$7,2,FALSE))</f>
        <v>0</v>
      </c>
      <c r="O34" s="20" t="s">
        <v>109</v>
      </c>
      <c r="P34" s="10">
        <f>IF('Hazard information'!O34=0,0,VLOOKUP(O34,Dropdown!$I$1:$J$7,2,FALSE))</f>
        <v>0</v>
      </c>
      <c r="Q34" s="20" t="s">
        <v>110</v>
      </c>
      <c r="R34" s="10">
        <f>IF(Q34=0,0,VLOOKUP(Q34,Dropdown!$M$2:$N$7,2,FALSE))</f>
        <v>0</v>
      </c>
      <c r="S34" s="20" t="s">
        <v>111</v>
      </c>
      <c r="T34" s="10">
        <f>IF(S34=0,0,VLOOKUP(S34,Dropdown!$O$2:$P$7,2,FALSE))</f>
        <v>0</v>
      </c>
      <c r="U34" s="20" t="s">
        <v>108</v>
      </c>
      <c r="V34" s="10">
        <f>IF(U34=0,0,VLOOKUP(U34,Dropdown!$Q$2:$R$7,2,FALSE))</f>
        <v>0</v>
      </c>
      <c r="W34" s="20" t="s">
        <v>112</v>
      </c>
      <c r="X34" s="10">
        <f>IF(W34=0,0,VLOOKUP(W34,Dropdown!$S$2:$T$7,2,FALSE))</f>
        <v>0</v>
      </c>
      <c r="Y34" s="20"/>
      <c r="Z34" s="10">
        <f>IF(Y34=0,0,VLOOKUP(Y34,Dropdown!$U$2:$V$6,2,FALSE))</f>
        <v>0</v>
      </c>
      <c r="AA34" s="20"/>
      <c r="AB34" s="10">
        <f>IF(AA34=0,0,VLOOKUP(AA34,Dropdown!$U$2:$V$6,2,FALSE))</f>
        <v>0</v>
      </c>
      <c r="AC34" s="20"/>
      <c r="AD34" s="10">
        <f>IF(AC34=0,0,VLOOKUP(AC34,Dropdown!$U$2:$V$6,2,FALSE))</f>
        <v>0</v>
      </c>
      <c r="AE34" s="20"/>
      <c r="AF34" s="10">
        <f>IF(AE34=0,0,VLOOKUP(AE34,Dropdown!$U$2:$V$6,2,FALSE))</f>
        <v>0</v>
      </c>
      <c r="AG34" s="20"/>
      <c r="AH34" s="10">
        <f>IF(AG34=0,0,VLOOKUP(AG34,Dropdown!$U$2:$V$6,2,FALSE))</f>
        <v>0</v>
      </c>
      <c r="AI34" s="20"/>
      <c r="AJ34" s="10">
        <f>IF(AI34=0,0,VLOOKUP(AI34,Dropdown!$U$2:$V$6,2,FALSE))</f>
        <v>0</v>
      </c>
      <c r="AK34" s="20"/>
      <c r="AL34" s="10">
        <f>IF(AK34=0,0,VLOOKUP(AK34,Dropdown!$U$2:$V$6,2,FALSE))</f>
        <v>0</v>
      </c>
      <c r="AM34" s="20"/>
      <c r="AN34" s="10">
        <f>IF(AM34=0,0,VLOOKUP(AM34,Dropdown!$U$2:$V$6,2,FALSE))</f>
        <v>0</v>
      </c>
      <c r="AO34" s="20"/>
      <c r="AP34" s="20"/>
      <c r="AQ34" s="10">
        <f>IF(AP34="",0,VLOOKUP(AP34,Dropdown!$U$2:$V$6,2,FALSE))</f>
        <v>0</v>
      </c>
      <c r="AR34" s="20"/>
      <c r="AS34" s="10">
        <f>IF(AR34="",0,VLOOKUP(AR34,Dropdown!$U$2:$V$6,2,FALSE))</f>
        <v>0</v>
      </c>
      <c r="AT34" s="20"/>
      <c r="AU34" s="10">
        <f>IF(AT34="",0,VLOOKUP(AT34,Dropdown!$U$2:$V$6,2,FALSE))</f>
        <v>0</v>
      </c>
      <c r="AV34" s="20"/>
      <c r="AW34" s="10">
        <f>IF(AV34="",0,VLOOKUP(AV34,Dropdown!$U$2:$V$6,2,FALSE))</f>
        <v>0</v>
      </c>
      <c r="AX34" s="20"/>
      <c r="AY34" s="10">
        <f>IF(AX34="",0,VLOOKUP(AX34,Dropdown!$U$2:$V$6,2,FALSE))</f>
        <v>0</v>
      </c>
      <c r="AZ34" s="20"/>
      <c r="BA34" s="10">
        <f>IF(AZ34="",0,VLOOKUP(AZ34,Dropdown!$U$2:$V$6,2,FALSE))</f>
        <v>0</v>
      </c>
      <c r="BB34" s="20"/>
      <c r="BC34" s="10">
        <f>IF(BB34="",0,VLOOKUP(BB34,Dropdown!$U$2:$V$6,2,FALSE))</f>
        <v>0</v>
      </c>
      <c r="BD34" s="20"/>
      <c r="BE34" s="10">
        <f>IF(BD34="",0,VLOOKUP(BD34,Dropdown!$U$2:$V$6,2,FALSE))</f>
        <v>0</v>
      </c>
    </row>
    <row r="35" spans="1:57" ht="28.95" customHeight="1" x14ac:dyDescent="0.3">
      <c r="A35" s="32" t="s">
        <v>58</v>
      </c>
      <c r="B35" s="10">
        <f>VLOOKUP(A35,Vulnerabilty!$B$3:$C$56,2,FALSE)</f>
        <v>0</v>
      </c>
      <c r="C35" s="10"/>
      <c r="D35" s="10"/>
      <c r="E35" s="20" t="s">
        <v>113</v>
      </c>
      <c r="F35" s="10">
        <f>IF(E35=0,0,VLOOKUP(E35,Dropdown!$A$1:$B$7,2,FALSE))</f>
        <v>0</v>
      </c>
      <c r="G35" s="20" t="s">
        <v>114</v>
      </c>
      <c r="H35" s="10">
        <f>IF(G35=0,0,VLOOKUP(G35,Dropdown!$C$2:$D$7,2,FALSE))</f>
        <v>0</v>
      </c>
      <c r="I35" s="20" t="s">
        <v>107</v>
      </c>
      <c r="J35" s="10" t="e">
        <f>IF('Hazard information'!I35=0,0,VLOOKUP(I35,Dropdown!$K$2:$L$7,2,FALSE))</f>
        <v>#N/A</v>
      </c>
      <c r="K35" s="20" t="s">
        <v>107</v>
      </c>
      <c r="L35" s="10" t="e">
        <f>IF(K35=0,0,VLOOKUP(K35,Dropdown!$E$2:$F$7,2,FALSE))</f>
        <v>#N/A</v>
      </c>
      <c r="M35" s="20" t="s">
        <v>108</v>
      </c>
      <c r="N35" s="10">
        <f>IF(M35=0,0,VLOOKUP(M35,Dropdown!$G$2:$H$7,2,FALSE))</f>
        <v>0</v>
      </c>
      <c r="O35" s="20" t="s">
        <v>109</v>
      </c>
      <c r="P35" s="10">
        <f>IF('Hazard information'!O35=0,0,VLOOKUP(O35,Dropdown!$I$1:$J$7,2,FALSE))</f>
        <v>0</v>
      </c>
      <c r="Q35" s="20" t="s">
        <v>110</v>
      </c>
      <c r="R35" s="10">
        <f>IF(Q35=0,0,VLOOKUP(Q35,Dropdown!$M$2:$N$7,2,FALSE))</f>
        <v>0</v>
      </c>
      <c r="S35" s="20" t="s">
        <v>111</v>
      </c>
      <c r="T35" s="10">
        <f>IF(S35=0,0,VLOOKUP(S35,Dropdown!$O$2:$P$7,2,FALSE))</f>
        <v>0</v>
      </c>
      <c r="U35" s="20" t="s">
        <v>108</v>
      </c>
      <c r="V35" s="10">
        <f>IF(U35=0,0,VLOOKUP(U35,Dropdown!$Q$2:$R$7,2,FALSE))</f>
        <v>0</v>
      </c>
      <c r="W35" s="20" t="s">
        <v>112</v>
      </c>
      <c r="X35" s="10">
        <f>IF(W35=0,0,VLOOKUP(W35,Dropdown!$S$2:$T$7,2,FALSE))</f>
        <v>0</v>
      </c>
      <c r="Y35" s="20"/>
      <c r="Z35" s="10">
        <f>IF(Y35=0,0,VLOOKUP(Y35,Dropdown!$U$2:$V$6,2,FALSE))</f>
        <v>0</v>
      </c>
      <c r="AA35" s="20"/>
      <c r="AB35" s="10">
        <f>IF(AA35=0,0,VLOOKUP(AA35,Dropdown!$U$2:$V$6,2,FALSE))</f>
        <v>0</v>
      </c>
      <c r="AC35" s="20"/>
      <c r="AD35" s="10">
        <f>IF(AC35=0,0,VLOOKUP(AC35,Dropdown!$U$2:$V$6,2,FALSE))</f>
        <v>0</v>
      </c>
      <c r="AE35" s="20"/>
      <c r="AF35" s="10">
        <f>IF(AE35=0,0,VLOOKUP(AE35,Dropdown!$U$2:$V$6,2,FALSE))</f>
        <v>0</v>
      </c>
      <c r="AG35" s="20"/>
      <c r="AH35" s="10">
        <f>IF(AG35=0,0,VLOOKUP(AG35,Dropdown!$U$2:$V$6,2,FALSE))</f>
        <v>0</v>
      </c>
      <c r="AI35" s="20"/>
      <c r="AJ35" s="10">
        <f>IF(AI35=0,0,VLOOKUP(AI35,Dropdown!$U$2:$V$6,2,FALSE))</f>
        <v>0</v>
      </c>
      <c r="AK35" s="20"/>
      <c r="AL35" s="10">
        <f>IF(AK35=0,0,VLOOKUP(AK35,Dropdown!$U$2:$V$6,2,FALSE))</f>
        <v>0</v>
      </c>
      <c r="AM35" s="20"/>
      <c r="AN35" s="10">
        <f>IF(AM35=0,0,VLOOKUP(AM35,Dropdown!$U$2:$V$6,2,FALSE))</f>
        <v>0</v>
      </c>
      <c r="AO35" s="20"/>
      <c r="AP35" s="20"/>
      <c r="AQ35" s="10">
        <f>IF(AP35="",0,VLOOKUP(AP35,Dropdown!$U$2:$V$6,2,FALSE))</f>
        <v>0</v>
      </c>
      <c r="AR35" s="20"/>
      <c r="AS35" s="10">
        <f>IF(AR35="",0,VLOOKUP(AR35,Dropdown!$U$2:$V$6,2,FALSE))</f>
        <v>0</v>
      </c>
      <c r="AT35" s="20"/>
      <c r="AU35" s="10">
        <f>IF(AT35="",0,VLOOKUP(AT35,Dropdown!$U$2:$V$6,2,FALSE))</f>
        <v>0</v>
      </c>
      <c r="AV35" s="20"/>
      <c r="AW35" s="10">
        <f>IF(AV35="",0,VLOOKUP(AV35,Dropdown!$U$2:$V$6,2,FALSE))</f>
        <v>0</v>
      </c>
      <c r="AX35" s="20"/>
      <c r="AY35" s="10">
        <f>IF(AX35="",0,VLOOKUP(AX35,Dropdown!$U$2:$V$6,2,FALSE))</f>
        <v>0</v>
      </c>
      <c r="AZ35" s="20"/>
      <c r="BA35" s="10">
        <f>IF(AZ35="",0,VLOOKUP(AZ35,Dropdown!$U$2:$V$6,2,FALSE))</f>
        <v>0</v>
      </c>
      <c r="BB35" s="20"/>
      <c r="BC35" s="10">
        <f>IF(BB35="",0,VLOOKUP(BB35,Dropdown!$U$2:$V$6,2,FALSE))</f>
        <v>0</v>
      </c>
      <c r="BD35" s="20"/>
      <c r="BE35" s="10">
        <f>IF(BD35="",0,VLOOKUP(BD35,Dropdown!$U$2:$V$6,2,FALSE))</f>
        <v>0</v>
      </c>
    </row>
    <row r="36" spans="1:57" ht="28.95" customHeight="1" x14ac:dyDescent="0.3">
      <c r="A36" s="32" t="s">
        <v>59</v>
      </c>
      <c r="B36" s="10">
        <f>VLOOKUP(A36,Vulnerabilty!$B$3:$C$56,2,FALSE)</f>
        <v>0</v>
      </c>
      <c r="C36" s="10"/>
      <c r="D36" s="10"/>
      <c r="E36" s="20" t="s">
        <v>113</v>
      </c>
      <c r="F36" s="10">
        <f>IF(E36=0,0,VLOOKUP(E36,Dropdown!$A$1:$B$7,2,FALSE))</f>
        <v>0</v>
      </c>
      <c r="G36" s="20" t="s">
        <v>114</v>
      </c>
      <c r="H36" s="10">
        <f>IF(G36=0,0,VLOOKUP(G36,Dropdown!$C$2:$D$7,2,FALSE))</f>
        <v>0</v>
      </c>
      <c r="I36" s="20" t="s">
        <v>107</v>
      </c>
      <c r="J36" s="10" t="e">
        <f>IF('Hazard information'!I36=0,0,VLOOKUP(I36,Dropdown!$K$2:$L$7,2,FALSE))</f>
        <v>#N/A</v>
      </c>
      <c r="K36" s="20" t="s">
        <v>107</v>
      </c>
      <c r="L36" s="10" t="e">
        <f>IF(K36=0,0,VLOOKUP(K36,Dropdown!$E$2:$F$7,2,FALSE))</f>
        <v>#N/A</v>
      </c>
      <c r="M36" s="20" t="s">
        <v>108</v>
      </c>
      <c r="N36" s="10">
        <f>IF(M36=0,0,VLOOKUP(M36,Dropdown!$G$2:$H$7,2,FALSE))</f>
        <v>0</v>
      </c>
      <c r="O36" s="20" t="s">
        <v>109</v>
      </c>
      <c r="P36" s="10">
        <f>IF('Hazard information'!O36=0,0,VLOOKUP(O36,Dropdown!$I$1:$J$7,2,FALSE))</f>
        <v>0</v>
      </c>
      <c r="Q36" s="20" t="s">
        <v>110</v>
      </c>
      <c r="R36" s="10">
        <f>IF(Q36=0,0,VLOOKUP(Q36,Dropdown!$M$2:$N$7,2,FALSE))</f>
        <v>0</v>
      </c>
      <c r="S36" s="20" t="s">
        <v>111</v>
      </c>
      <c r="T36" s="10">
        <f>IF(S36=0,0,VLOOKUP(S36,Dropdown!$O$2:$P$7,2,FALSE))</f>
        <v>0</v>
      </c>
      <c r="U36" s="20" t="s">
        <v>108</v>
      </c>
      <c r="V36" s="10">
        <f>IF(U36=0,0,VLOOKUP(U36,Dropdown!$Q$2:$R$7,2,FALSE))</f>
        <v>0</v>
      </c>
      <c r="W36" s="20" t="s">
        <v>112</v>
      </c>
      <c r="X36" s="10">
        <f>IF(W36=0,0,VLOOKUP(W36,Dropdown!$S$2:$T$7,2,FALSE))</f>
        <v>0</v>
      </c>
      <c r="Y36" s="20"/>
      <c r="Z36" s="10">
        <f>IF(Y36=0,0,VLOOKUP(Y36,Dropdown!$U$2:$V$6,2,FALSE))</f>
        <v>0</v>
      </c>
      <c r="AA36" s="20"/>
      <c r="AB36" s="10">
        <f>IF(AA36=0,0,VLOOKUP(AA36,Dropdown!$U$2:$V$6,2,FALSE))</f>
        <v>0</v>
      </c>
      <c r="AC36" s="20"/>
      <c r="AD36" s="10">
        <f>IF(AC36=0,0,VLOOKUP(AC36,Dropdown!$U$2:$V$6,2,FALSE))</f>
        <v>0</v>
      </c>
      <c r="AE36" s="20"/>
      <c r="AF36" s="10">
        <f>IF(AE36=0,0,VLOOKUP(AE36,Dropdown!$U$2:$V$6,2,FALSE))</f>
        <v>0</v>
      </c>
      <c r="AG36" s="20"/>
      <c r="AH36" s="10">
        <f>IF(AG36=0,0,VLOOKUP(AG36,Dropdown!$U$2:$V$6,2,FALSE))</f>
        <v>0</v>
      </c>
      <c r="AI36" s="20"/>
      <c r="AJ36" s="10">
        <f>IF(AI36=0,0,VLOOKUP(AI36,Dropdown!$U$2:$V$6,2,FALSE))</f>
        <v>0</v>
      </c>
      <c r="AK36" s="20"/>
      <c r="AL36" s="10">
        <f>IF(AK36=0,0,VLOOKUP(AK36,Dropdown!$U$2:$V$6,2,FALSE))</f>
        <v>0</v>
      </c>
      <c r="AM36" s="20"/>
      <c r="AN36" s="10">
        <f>IF(AM36=0,0,VLOOKUP(AM36,Dropdown!$U$2:$V$6,2,FALSE))</f>
        <v>0</v>
      </c>
      <c r="AO36" s="20"/>
      <c r="AP36" s="20"/>
      <c r="AQ36" s="10">
        <f>IF(AP36="",0,VLOOKUP(AP36,Dropdown!$U$2:$V$6,2,FALSE))</f>
        <v>0</v>
      </c>
      <c r="AR36" s="20"/>
      <c r="AS36" s="10">
        <f>IF(AR36="",0,VLOOKUP(AR36,Dropdown!$U$2:$V$6,2,FALSE))</f>
        <v>0</v>
      </c>
      <c r="AT36" s="20"/>
      <c r="AU36" s="10">
        <f>IF(AT36="",0,VLOOKUP(AT36,Dropdown!$U$2:$V$6,2,FALSE))</f>
        <v>0</v>
      </c>
      <c r="AV36" s="20"/>
      <c r="AW36" s="10">
        <f>IF(AV36="",0,VLOOKUP(AV36,Dropdown!$U$2:$V$6,2,FALSE))</f>
        <v>0</v>
      </c>
      <c r="AX36" s="20"/>
      <c r="AY36" s="10">
        <f>IF(AX36="",0,VLOOKUP(AX36,Dropdown!$U$2:$V$6,2,FALSE))</f>
        <v>0</v>
      </c>
      <c r="AZ36" s="20"/>
      <c r="BA36" s="10">
        <f>IF(AZ36="",0,VLOOKUP(AZ36,Dropdown!$U$2:$V$6,2,FALSE))</f>
        <v>0</v>
      </c>
      <c r="BB36" s="20"/>
      <c r="BC36" s="10">
        <f>IF(BB36="",0,VLOOKUP(BB36,Dropdown!$U$2:$V$6,2,FALSE))</f>
        <v>0</v>
      </c>
      <c r="BD36" s="20"/>
      <c r="BE36" s="10">
        <f>IF(BD36="",0,VLOOKUP(BD36,Dropdown!$U$2:$V$6,2,FALSE))</f>
        <v>0</v>
      </c>
    </row>
    <row r="37" spans="1:57" ht="28.95" customHeight="1" x14ac:dyDescent="0.3">
      <c r="A37" s="32" t="s">
        <v>60</v>
      </c>
      <c r="B37" s="10">
        <f>VLOOKUP(A37,Vulnerabilty!$B$3:$C$56,2,FALSE)</f>
        <v>0</v>
      </c>
      <c r="C37" s="10"/>
      <c r="D37" s="10"/>
      <c r="E37" s="20" t="s">
        <v>113</v>
      </c>
      <c r="F37" s="10">
        <f>IF(E37=0,0,VLOOKUP(E37,Dropdown!$A$1:$B$7,2,FALSE))</f>
        <v>0</v>
      </c>
      <c r="G37" s="20" t="s">
        <v>114</v>
      </c>
      <c r="H37" s="10">
        <f>IF(G37=0,0,VLOOKUP(G37,Dropdown!$C$2:$D$7,2,FALSE))</f>
        <v>0</v>
      </c>
      <c r="I37" s="20" t="s">
        <v>107</v>
      </c>
      <c r="J37" s="10" t="e">
        <f>IF('Hazard information'!I37=0,0,VLOOKUP(I37,Dropdown!$K$2:$L$7,2,FALSE))</f>
        <v>#N/A</v>
      </c>
      <c r="K37" s="20" t="s">
        <v>107</v>
      </c>
      <c r="L37" s="10" t="e">
        <f>IF(K37=0,0,VLOOKUP(K37,Dropdown!$E$2:$F$7,2,FALSE))</f>
        <v>#N/A</v>
      </c>
      <c r="M37" s="20" t="s">
        <v>108</v>
      </c>
      <c r="N37" s="10">
        <f>IF(M37=0,0,VLOOKUP(M37,Dropdown!$G$2:$H$7,2,FALSE))</f>
        <v>0</v>
      </c>
      <c r="O37" s="20" t="s">
        <v>109</v>
      </c>
      <c r="P37" s="10">
        <f>IF('Hazard information'!O37=0,0,VLOOKUP(O37,Dropdown!$I$1:$J$7,2,FALSE))</f>
        <v>0</v>
      </c>
      <c r="Q37" s="20" t="s">
        <v>110</v>
      </c>
      <c r="R37" s="10">
        <f>IF(Q37=0,0,VLOOKUP(Q37,Dropdown!$M$2:$N$7,2,FALSE))</f>
        <v>0</v>
      </c>
      <c r="S37" s="20" t="s">
        <v>111</v>
      </c>
      <c r="T37" s="10">
        <f>IF(S37=0,0,VLOOKUP(S37,Dropdown!$O$2:$P$7,2,FALSE))</f>
        <v>0</v>
      </c>
      <c r="U37" s="20" t="s">
        <v>108</v>
      </c>
      <c r="V37" s="10">
        <f>IF(U37=0,0,VLOOKUP(U37,Dropdown!$Q$2:$R$7,2,FALSE))</f>
        <v>0</v>
      </c>
      <c r="W37" s="20" t="s">
        <v>112</v>
      </c>
      <c r="X37" s="10">
        <f>IF(W37=0,0,VLOOKUP(W37,Dropdown!$S$2:$T$7,2,FALSE))</f>
        <v>0</v>
      </c>
      <c r="Y37" s="20"/>
      <c r="Z37" s="10">
        <f>IF(Y37=0,0,VLOOKUP(Y37,Dropdown!$U$2:$V$6,2,FALSE))</f>
        <v>0</v>
      </c>
      <c r="AA37" s="20"/>
      <c r="AB37" s="10">
        <f>IF(AA37=0,0,VLOOKUP(AA37,Dropdown!$U$2:$V$6,2,FALSE))</f>
        <v>0</v>
      </c>
      <c r="AC37" s="20"/>
      <c r="AD37" s="10">
        <f>IF(AC37=0,0,VLOOKUP(AC37,Dropdown!$U$2:$V$6,2,FALSE))</f>
        <v>0</v>
      </c>
      <c r="AE37" s="20"/>
      <c r="AF37" s="10">
        <f>IF(AE37=0,0,VLOOKUP(AE37,Dropdown!$U$2:$V$6,2,FALSE))</f>
        <v>0</v>
      </c>
      <c r="AG37" s="20"/>
      <c r="AH37" s="10">
        <f>IF(AG37=0,0,VLOOKUP(AG37,Dropdown!$U$2:$V$6,2,FALSE))</f>
        <v>0</v>
      </c>
      <c r="AI37" s="20"/>
      <c r="AJ37" s="10">
        <f>IF(AI37=0,0,VLOOKUP(AI37,Dropdown!$U$2:$V$6,2,FALSE))</f>
        <v>0</v>
      </c>
      <c r="AK37" s="20"/>
      <c r="AL37" s="10">
        <f>IF(AK37=0,0,VLOOKUP(AK37,Dropdown!$U$2:$V$6,2,FALSE))</f>
        <v>0</v>
      </c>
      <c r="AM37" s="20"/>
      <c r="AN37" s="10">
        <f>IF(AM37=0,0,VLOOKUP(AM37,Dropdown!$U$2:$V$6,2,FALSE))</f>
        <v>0</v>
      </c>
      <c r="AO37" s="20"/>
      <c r="AP37" s="20"/>
      <c r="AQ37" s="10">
        <f>IF(AP37="",0,VLOOKUP(AP37,Dropdown!$U$2:$V$6,2,FALSE))</f>
        <v>0</v>
      </c>
      <c r="AR37" s="20"/>
      <c r="AS37" s="10">
        <f>IF(AR37="",0,VLOOKUP(AR37,Dropdown!$U$2:$V$6,2,FALSE))</f>
        <v>0</v>
      </c>
      <c r="AT37" s="20"/>
      <c r="AU37" s="10">
        <f>IF(AT37="",0,VLOOKUP(AT37,Dropdown!$U$2:$V$6,2,FALSE))</f>
        <v>0</v>
      </c>
      <c r="AV37" s="20"/>
      <c r="AW37" s="10">
        <f>IF(AV37="",0,VLOOKUP(AV37,Dropdown!$U$2:$V$6,2,FALSE))</f>
        <v>0</v>
      </c>
      <c r="AX37" s="20"/>
      <c r="AY37" s="10">
        <f>IF(AX37="",0,VLOOKUP(AX37,Dropdown!$U$2:$V$6,2,FALSE))</f>
        <v>0</v>
      </c>
      <c r="AZ37" s="20"/>
      <c r="BA37" s="10">
        <f>IF(AZ37="",0,VLOOKUP(AZ37,Dropdown!$U$2:$V$6,2,FALSE))</f>
        <v>0</v>
      </c>
      <c r="BB37" s="20"/>
      <c r="BC37" s="10">
        <f>IF(BB37="",0,VLOOKUP(BB37,Dropdown!$U$2:$V$6,2,FALSE))</f>
        <v>0</v>
      </c>
      <c r="BD37" s="20"/>
      <c r="BE37" s="10">
        <f>IF(BD37="",0,VLOOKUP(BD37,Dropdown!$U$2:$V$6,2,FALSE))</f>
        <v>0</v>
      </c>
    </row>
    <row r="38" spans="1:57" ht="14.4" customHeight="1" x14ac:dyDescent="0.3">
      <c r="A38" s="32" t="s">
        <v>61</v>
      </c>
      <c r="B38" s="10">
        <f>VLOOKUP(A38,Vulnerabilty!$B$3:$C$56,2,FALSE)</f>
        <v>0</v>
      </c>
      <c r="C38" s="10"/>
      <c r="D38" s="40"/>
      <c r="E38" s="20" t="s">
        <v>113</v>
      </c>
      <c r="F38" s="10">
        <f>IF(E38=0,0,VLOOKUP(E38,Dropdown!$A$1:$B$7,2,FALSE))</f>
        <v>0</v>
      </c>
      <c r="G38" s="20" t="s">
        <v>114</v>
      </c>
      <c r="H38" s="10">
        <f>IF(G38=0,0,VLOOKUP(G38,Dropdown!$C$2:$D$7,2,FALSE))</f>
        <v>0</v>
      </c>
      <c r="I38" s="20" t="s">
        <v>107</v>
      </c>
      <c r="J38" s="10" t="e">
        <f>IF('Hazard information'!I38=0,0,VLOOKUP(I38,Dropdown!$K$2:$L$7,2,FALSE))</f>
        <v>#N/A</v>
      </c>
      <c r="K38" s="20" t="s">
        <v>107</v>
      </c>
      <c r="L38" s="10" t="e">
        <f>IF(K38=0,0,VLOOKUP(K38,Dropdown!$E$2:$F$7,2,FALSE))</f>
        <v>#N/A</v>
      </c>
      <c r="M38" s="20" t="s">
        <v>108</v>
      </c>
      <c r="N38" s="10">
        <f>IF(M38=0,0,VLOOKUP(M38,Dropdown!$G$2:$H$7,2,FALSE))</f>
        <v>0</v>
      </c>
      <c r="O38" s="20" t="s">
        <v>109</v>
      </c>
      <c r="P38" s="10">
        <f>IF('Hazard information'!O38=0,0,VLOOKUP(O38,Dropdown!$I$1:$J$7,2,FALSE))</f>
        <v>0</v>
      </c>
      <c r="Q38" s="20" t="s">
        <v>110</v>
      </c>
      <c r="R38" s="10">
        <f>IF(Q38=0,0,VLOOKUP(Q38,Dropdown!$M$2:$N$7,2,FALSE))</f>
        <v>0</v>
      </c>
      <c r="S38" s="20" t="s">
        <v>111</v>
      </c>
      <c r="T38" s="10">
        <f>IF(S38=0,0,VLOOKUP(S38,Dropdown!$O$2:$P$7,2,FALSE))</f>
        <v>0</v>
      </c>
      <c r="U38" s="20" t="s">
        <v>108</v>
      </c>
      <c r="V38" s="10">
        <f>IF(U38=0,0,VLOOKUP(U38,Dropdown!$Q$2:$R$7,2,FALSE))</f>
        <v>0</v>
      </c>
      <c r="W38" s="20" t="s">
        <v>112</v>
      </c>
      <c r="X38" s="10">
        <f>IF(W38=0,0,VLOOKUP(W38,Dropdown!$S$2:$T$7,2,FALSE))</f>
        <v>0</v>
      </c>
      <c r="Y38" s="20"/>
      <c r="Z38" s="10">
        <f>IF(Y38=0,0,VLOOKUP(Y38,Dropdown!$U$2:$V$6,2,FALSE))</f>
        <v>0</v>
      </c>
      <c r="AA38" s="20"/>
      <c r="AB38" s="10">
        <f>IF(AA38=0,0,VLOOKUP(AA38,Dropdown!$U$2:$V$6,2,FALSE))</f>
        <v>0</v>
      </c>
      <c r="AC38" s="20"/>
      <c r="AD38" s="10">
        <f>IF(AC38=0,0,VLOOKUP(AC38,Dropdown!$U$2:$V$6,2,FALSE))</f>
        <v>0</v>
      </c>
      <c r="AE38" s="20"/>
      <c r="AF38" s="10">
        <f>IF(AE38=0,0,VLOOKUP(AE38,Dropdown!$U$2:$V$6,2,FALSE))</f>
        <v>0</v>
      </c>
      <c r="AG38" s="20"/>
      <c r="AH38" s="10">
        <f>IF(AG38=0,0,VLOOKUP(AG38,Dropdown!$U$2:$V$6,2,FALSE))</f>
        <v>0</v>
      </c>
      <c r="AI38" s="20"/>
      <c r="AJ38" s="10">
        <f>IF(AI38=0,0,VLOOKUP(AI38,Dropdown!$U$2:$V$6,2,FALSE))</f>
        <v>0</v>
      </c>
      <c r="AK38" s="20"/>
      <c r="AL38" s="10">
        <f>IF(AK38=0,0,VLOOKUP(AK38,Dropdown!$U$2:$V$6,2,FALSE))</f>
        <v>0</v>
      </c>
      <c r="AM38" s="20"/>
      <c r="AN38" s="10">
        <f>IF(AM38=0,0,VLOOKUP(AM38,Dropdown!$U$2:$V$6,2,FALSE))</f>
        <v>0</v>
      </c>
      <c r="AO38" s="20"/>
      <c r="AQ38" s="10">
        <f>IF(AP38="",0,VLOOKUP(AP38,Dropdown!$U$2:$V$6,2,FALSE))</f>
        <v>0</v>
      </c>
      <c r="AS38" s="10">
        <f>IF(AR38="",0,VLOOKUP(AR38,Dropdown!$U$2:$V$6,2,FALSE))</f>
        <v>0</v>
      </c>
      <c r="AU38" s="10">
        <f>IF(AT38="",0,VLOOKUP(AT38,Dropdown!$U$2:$V$6,2,FALSE))</f>
        <v>0</v>
      </c>
      <c r="AW38" s="10">
        <f>IF(AV38="",0,VLOOKUP(AV38,Dropdown!$U$2:$V$6,2,FALSE))</f>
        <v>0</v>
      </c>
      <c r="AY38" s="10">
        <f>IF(AX38="",0,VLOOKUP(AX38,Dropdown!$U$2:$V$6,2,FALSE))</f>
        <v>0</v>
      </c>
      <c r="BA38" s="10">
        <f>IF(AZ38="",0,VLOOKUP(AZ38,Dropdown!$U$2:$V$6,2,FALSE))</f>
        <v>0</v>
      </c>
      <c r="BC38" s="10">
        <f>IF(BB38="",0,VLOOKUP(BB38,Dropdown!$U$2:$V$6,2,FALSE))</f>
        <v>0</v>
      </c>
      <c r="BE38" s="10">
        <f>IF(BD38="",0,VLOOKUP(BD38,Dropdown!$U$2:$V$6,2,FALSE))</f>
        <v>0</v>
      </c>
    </row>
    <row r="39" spans="1:57" ht="14.4" customHeight="1" x14ac:dyDescent="0.3">
      <c r="A39" s="32" t="s">
        <v>62</v>
      </c>
      <c r="B39" s="10">
        <f>VLOOKUP(A39,Vulnerabilty!$B$3:$C$56,2,FALSE)</f>
        <v>0</v>
      </c>
      <c r="C39" s="10"/>
      <c r="D39" s="10"/>
      <c r="E39" s="20" t="s">
        <v>113</v>
      </c>
      <c r="F39" s="10">
        <f>IF(E39=0,0,VLOOKUP(E39,Dropdown!$A$1:$B$7,2,FALSE))</f>
        <v>0</v>
      </c>
      <c r="G39" s="20" t="s">
        <v>114</v>
      </c>
      <c r="H39" s="10">
        <f>IF(G39=0,0,VLOOKUP(G39,Dropdown!$C$2:$D$7,2,FALSE))</f>
        <v>0</v>
      </c>
      <c r="I39" s="20" t="s">
        <v>107</v>
      </c>
      <c r="J39" s="10" t="e">
        <f>IF('Hazard information'!I39=0,0,VLOOKUP(I39,Dropdown!$K$2:$L$7,2,FALSE))</f>
        <v>#N/A</v>
      </c>
      <c r="K39" s="20" t="s">
        <v>107</v>
      </c>
      <c r="L39" s="10" t="e">
        <f>IF(K39=0,0,VLOOKUP(K39,Dropdown!$E$2:$F$7,2,FALSE))</f>
        <v>#N/A</v>
      </c>
      <c r="M39" s="20" t="s">
        <v>108</v>
      </c>
      <c r="N39" s="10">
        <f>IF(M39=0,0,VLOOKUP(M39,Dropdown!$G$2:$H$7,2,FALSE))</f>
        <v>0</v>
      </c>
      <c r="O39" s="20" t="s">
        <v>109</v>
      </c>
      <c r="P39" s="10">
        <f>IF('Hazard information'!O39=0,0,VLOOKUP(O39,Dropdown!$I$1:$J$7,2,FALSE))</f>
        <v>0</v>
      </c>
      <c r="Q39" s="20" t="s">
        <v>110</v>
      </c>
      <c r="R39" s="10">
        <f>IF(Q39=0,0,VLOOKUP(Q39,Dropdown!$M$2:$N$7,2,FALSE))</f>
        <v>0</v>
      </c>
      <c r="S39" s="20" t="s">
        <v>111</v>
      </c>
      <c r="T39" s="10">
        <f>IF(S39=0,0,VLOOKUP(S39,Dropdown!$O$2:$P$7,2,FALSE))</f>
        <v>0</v>
      </c>
      <c r="U39" s="20" t="s">
        <v>108</v>
      </c>
      <c r="V39" s="10">
        <f>IF(U39=0,0,VLOOKUP(U39,Dropdown!$Q$2:$R$7,2,FALSE))</f>
        <v>0</v>
      </c>
      <c r="W39" s="20" t="s">
        <v>112</v>
      </c>
      <c r="X39" s="10">
        <f>IF(W39=0,0,VLOOKUP(W39,Dropdown!$S$2:$T$7,2,FALSE))</f>
        <v>0</v>
      </c>
      <c r="Y39" s="20"/>
      <c r="Z39" s="10">
        <f>IF(Y39=0,0,VLOOKUP(Y39,Dropdown!$U$2:$V$6,2,FALSE))</f>
        <v>0</v>
      </c>
      <c r="AA39" s="20"/>
      <c r="AB39" s="10">
        <f>IF(AA39=0,0,VLOOKUP(AA39,Dropdown!$U$2:$V$6,2,FALSE))</f>
        <v>0</v>
      </c>
      <c r="AC39" s="20"/>
      <c r="AD39" s="10">
        <f>IF(AC39=0,0,VLOOKUP(AC39,Dropdown!$U$2:$V$6,2,FALSE))</f>
        <v>0</v>
      </c>
      <c r="AE39" s="20"/>
      <c r="AF39" s="10">
        <f>IF(AE39=0,0,VLOOKUP(AE39,Dropdown!$U$2:$V$6,2,FALSE))</f>
        <v>0</v>
      </c>
      <c r="AG39" s="20"/>
      <c r="AH39" s="10">
        <f>IF(AG39=0,0,VLOOKUP(AG39,Dropdown!$U$2:$V$6,2,FALSE))</f>
        <v>0</v>
      </c>
      <c r="AI39" s="20"/>
      <c r="AJ39" s="10">
        <f>IF(AI39=0,0,VLOOKUP(AI39,Dropdown!$U$2:$V$6,2,FALSE))</f>
        <v>0</v>
      </c>
      <c r="AK39" s="20"/>
      <c r="AL39" s="10">
        <f>IF(AK39=0,0,VLOOKUP(AK39,Dropdown!$U$2:$V$6,2,FALSE))</f>
        <v>0</v>
      </c>
      <c r="AM39" s="20"/>
      <c r="AN39" s="10">
        <f>IF(AM39=0,0,VLOOKUP(AM39,Dropdown!$U$2:$V$6,2,FALSE))</f>
        <v>0</v>
      </c>
      <c r="AO39" s="20"/>
      <c r="AP39" s="20"/>
      <c r="AQ39" s="10">
        <f>IF(AP39="",0,VLOOKUP(AP39,Dropdown!$U$2:$V$6,2,FALSE))</f>
        <v>0</v>
      </c>
      <c r="AR39" s="20"/>
      <c r="AS39" s="10">
        <f>IF(AR39="",0,VLOOKUP(AR39,Dropdown!$U$2:$V$6,2,FALSE))</f>
        <v>0</v>
      </c>
      <c r="AT39" s="20"/>
      <c r="AU39" s="10">
        <f>IF(AT39="",0,VLOOKUP(AT39,Dropdown!$U$2:$V$6,2,FALSE))</f>
        <v>0</v>
      </c>
      <c r="AV39" s="20"/>
      <c r="AW39" s="10">
        <f>IF(AV39="",0,VLOOKUP(AV39,Dropdown!$U$2:$V$6,2,FALSE))</f>
        <v>0</v>
      </c>
      <c r="AX39" s="20"/>
      <c r="AY39" s="10">
        <f>IF(AX39="",0,VLOOKUP(AX39,Dropdown!$U$2:$V$6,2,FALSE))</f>
        <v>0</v>
      </c>
      <c r="AZ39" s="20"/>
      <c r="BA39" s="10">
        <f>IF(AZ39="",0,VLOOKUP(AZ39,Dropdown!$U$2:$V$6,2,FALSE))</f>
        <v>0</v>
      </c>
      <c r="BB39" s="20"/>
      <c r="BC39" s="10">
        <f>IF(BB39="",0,VLOOKUP(BB39,Dropdown!$U$2:$V$6,2,FALSE))</f>
        <v>0</v>
      </c>
      <c r="BD39" s="20"/>
      <c r="BE39" s="10">
        <f>IF(BD39="",0,VLOOKUP(BD39,Dropdown!$U$2:$V$6,2,FALSE))</f>
        <v>0</v>
      </c>
    </row>
    <row r="40" spans="1:57" ht="14.4" customHeight="1" x14ac:dyDescent="0.3">
      <c r="A40" s="32" t="s">
        <v>63</v>
      </c>
      <c r="B40" s="10">
        <f>VLOOKUP(A40,Vulnerabilty!$B$3:$C$56,2,FALSE)</f>
        <v>0</v>
      </c>
      <c r="C40" s="10"/>
      <c r="D40" s="10"/>
      <c r="E40" s="20" t="s">
        <v>113</v>
      </c>
      <c r="F40" s="10">
        <f>IF(E40=0,0,VLOOKUP(E40,Dropdown!$A$1:$B$7,2,FALSE))</f>
        <v>0</v>
      </c>
      <c r="G40" s="20" t="s">
        <v>114</v>
      </c>
      <c r="H40" s="10">
        <f>IF(G40=0,0,VLOOKUP(G40,Dropdown!$C$2:$D$7,2,FALSE))</f>
        <v>0</v>
      </c>
      <c r="I40" s="20" t="s">
        <v>107</v>
      </c>
      <c r="J40" s="10" t="e">
        <f>IF('Hazard information'!I40=0,0,VLOOKUP(I40,Dropdown!$K$2:$L$7,2,FALSE))</f>
        <v>#N/A</v>
      </c>
      <c r="K40" s="20" t="s">
        <v>107</v>
      </c>
      <c r="L40" s="10" t="e">
        <f>IF(K40=0,0,VLOOKUP(K40,Dropdown!$E$2:$F$7,2,FALSE))</f>
        <v>#N/A</v>
      </c>
      <c r="M40" s="20" t="s">
        <v>108</v>
      </c>
      <c r="N40" s="10">
        <f>IF(M40=0,0,VLOOKUP(M40,Dropdown!$G$2:$H$7,2,FALSE))</f>
        <v>0</v>
      </c>
      <c r="O40" s="20" t="s">
        <v>109</v>
      </c>
      <c r="P40" s="10">
        <f>IF('Hazard information'!O40=0,0,VLOOKUP(O40,Dropdown!$I$1:$J$7,2,FALSE))</f>
        <v>0</v>
      </c>
      <c r="Q40" s="20" t="s">
        <v>110</v>
      </c>
      <c r="R40" s="10">
        <f>IF(Q40=0,0,VLOOKUP(Q40,Dropdown!$M$2:$N$7,2,FALSE))</f>
        <v>0</v>
      </c>
      <c r="S40" s="20" t="s">
        <v>111</v>
      </c>
      <c r="T40" s="10">
        <f>IF(S40=0,0,VLOOKUP(S40,Dropdown!$O$2:$P$7,2,FALSE))</f>
        <v>0</v>
      </c>
      <c r="U40" s="20" t="s">
        <v>108</v>
      </c>
      <c r="V40" s="10">
        <f>IF(U40=0,0,VLOOKUP(U40,Dropdown!$Q$2:$R$7,2,FALSE))</f>
        <v>0</v>
      </c>
      <c r="W40" s="20" t="s">
        <v>112</v>
      </c>
      <c r="X40" s="10">
        <f>IF(W40=0,0,VLOOKUP(W40,Dropdown!$S$2:$T$7,2,FALSE))</f>
        <v>0</v>
      </c>
      <c r="Y40" s="20"/>
      <c r="Z40" s="10">
        <f>IF(Y40=0,0,VLOOKUP(Y40,Dropdown!$U$2:$V$6,2,FALSE))</f>
        <v>0</v>
      </c>
      <c r="AA40" s="20"/>
      <c r="AB40" s="10">
        <f>IF(AA40=0,0,VLOOKUP(AA40,Dropdown!$U$2:$V$6,2,FALSE))</f>
        <v>0</v>
      </c>
      <c r="AC40" s="20"/>
      <c r="AD40" s="10">
        <f>IF(AC40=0,0,VLOOKUP(AC40,Dropdown!$U$2:$V$6,2,FALSE))</f>
        <v>0</v>
      </c>
      <c r="AE40" s="20"/>
      <c r="AF40" s="10">
        <f>IF(AE40=0,0,VLOOKUP(AE40,Dropdown!$U$2:$V$6,2,FALSE))</f>
        <v>0</v>
      </c>
      <c r="AG40" s="20"/>
      <c r="AH40" s="10">
        <f>IF(AG40=0,0,VLOOKUP(AG40,Dropdown!$U$2:$V$6,2,FALSE))</f>
        <v>0</v>
      </c>
      <c r="AI40" s="20"/>
      <c r="AJ40" s="10">
        <f>IF(AI40=0,0,VLOOKUP(AI40,Dropdown!$U$2:$V$6,2,FALSE))</f>
        <v>0</v>
      </c>
      <c r="AK40" s="20"/>
      <c r="AL40" s="10">
        <f>IF(AK40=0,0,VLOOKUP(AK40,Dropdown!$U$2:$V$6,2,FALSE))</f>
        <v>0</v>
      </c>
      <c r="AM40" s="20"/>
      <c r="AN40" s="10">
        <f>IF(AM40=0,0,VLOOKUP(AM40,Dropdown!$U$2:$V$6,2,FALSE))</f>
        <v>0</v>
      </c>
      <c r="AO40" s="20"/>
      <c r="AP40" s="20"/>
      <c r="AQ40" s="10">
        <f>IF(AP40="",0,VLOOKUP(AP40,Dropdown!$U$2:$V$6,2,FALSE))</f>
        <v>0</v>
      </c>
      <c r="AR40" s="20"/>
      <c r="AS40" s="10">
        <f>IF(AR40="",0,VLOOKUP(AR40,Dropdown!$U$2:$V$6,2,FALSE))</f>
        <v>0</v>
      </c>
      <c r="AT40" s="20"/>
      <c r="AU40" s="10">
        <f>IF(AT40="",0,VLOOKUP(AT40,Dropdown!$U$2:$V$6,2,FALSE))</f>
        <v>0</v>
      </c>
      <c r="AV40" s="20"/>
      <c r="AW40" s="10">
        <f>IF(AV40="",0,VLOOKUP(AV40,Dropdown!$U$2:$V$6,2,FALSE))</f>
        <v>0</v>
      </c>
      <c r="AX40" s="20"/>
      <c r="AY40" s="10">
        <f>IF(AX40="",0,VLOOKUP(AX40,Dropdown!$U$2:$V$6,2,FALSE))</f>
        <v>0</v>
      </c>
      <c r="AZ40" s="20"/>
      <c r="BA40" s="10">
        <f>IF(AZ40="",0,VLOOKUP(AZ40,Dropdown!$U$2:$V$6,2,FALSE))</f>
        <v>0</v>
      </c>
      <c r="BB40" s="20"/>
      <c r="BC40" s="10">
        <f>IF(BB40="",0,VLOOKUP(BB40,Dropdown!$U$2:$V$6,2,FALSE))</f>
        <v>0</v>
      </c>
      <c r="BD40" s="20"/>
      <c r="BE40" s="10">
        <f>IF(BD40="",0,VLOOKUP(BD40,Dropdown!$U$2:$V$6,2,FALSE))</f>
        <v>0</v>
      </c>
    </row>
    <row r="41" spans="1:57" ht="14.4" customHeight="1" x14ac:dyDescent="0.3">
      <c r="A41" s="32" t="s">
        <v>64</v>
      </c>
      <c r="B41" s="10">
        <f>VLOOKUP(A41,Vulnerabilty!$B$3:$C$56,2,FALSE)</f>
        <v>0</v>
      </c>
      <c r="C41" s="10"/>
      <c r="D41" s="10"/>
      <c r="E41" s="20" t="s">
        <v>113</v>
      </c>
      <c r="F41" s="10">
        <f>IF(E41=0,0,VLOOKUP(E41,Dropdown!$A$1:$B$7,2,FALSE))</f>
        <v>0</v>
      </c>
      <c r="G41" s="20" t="s">
        <v>114</v>
      </c>
      <c r="H41" s="10">
        <f>IF(G41=0,0,VLOOKUP(G41,Dropdown!$C$2:$D$7,2,FALSE))</f>
        <v>0</v>
      </c>
      <c r="I41" s="20" t="s">
        <v>107</v>
      </c>
      <c r="J41" s="10" t="e">
        <f>IF('Hazard information'!I41=0,0,VLOOKUP(I41,Dropdown!$K$2:$L$7,2,FALSE))</f>
        <v>#N/A</v>
      </c>
      <c r="K41" s="20" t="s">
        <v>107</v>
      </c>
      <c r="L41" s="10" t="e">
        <f>IF(K41=0,0,VLOOKUP(K41,Dropdown!$E$2:$F$7,2,FALSE))</f>
        <v>#N/A</v>
      </c>
      <c r="M41" s="20" t="s">
        <v>108</v>
      </c>
      <c r="N41" s="10">
        <f>IF(M41=0,0,VLOOKUP(M41,Dropdown!$G$2:$H$7,2,FALSE))</f>
        <v>0</v>
      </c>
      <c r="O41" s="20" t="s">
        <v>109</v>
      </c>
      <c r="P41" s="10">
        <f>IF('Hazard information'!O41=0,0,VLOOKUP(O41,Dropdown!$I$1:$J$7,2,FALSE))</f>
        <v>0</v>
      </c>
      <c r="Q41" s="20" t="s">
        <v>110</v>
      </c>
      <c r="R41" s="10">
        <f>IF(Q41=0,0,VLOOKUP(Q41,Dropdown!$M$2:$N$7,2,FALSE))</f>
        <v>0</v>
      </c>
      <c r="S41" s="20" t="s">
        <v>111</v>
      </c>
      <c r="T41" s="10">
        <f>IF(S41=0,0,VLOOKUP(S41,Dropdown!$O$2:$P$7,2,FALSE))</f>
        <v>0</v>
      </c>
      <c r="U41" s="20" t="s">
        <v>108</v>
      </c>
      <c r="V41" s="10">
        <f>IF(U41=0,0,VLOOKUP(U41,Dropdown!$Q$2:$R$7,2,FALSE))</f>
        <v>0</v>
      </c>
      <c r="W41" s="20" t="s">
        <v>112</v>
      </c>
      <c r="X41" s="10">
        <f>IF(W41=0,0,VLOOKUP(W41,Dropdown!$S$2:$T$7,2,FALSE))</f>
        <v>0</v>
      </c>
      <c r="Y41" s="20"/>
      <c r="Z41" s="10">
        <f>IF(Y41=0,0,VLOOKUP(Y41,Dropdown!$U$2:$V$6,2,FALSE))</f>
        <v>0</v>
      </c>
      <c r="AA41" s="20"/>
      <c r="AB41" s="10">
        <f>IF(AA41=0,0,VLOOKUP(AA41,Dropdown!$U$2:$V$6,2,FALSE))</f>
        <v>0</v>
      </c>
      <c r="AC41" s="20"/>
      <c r="AD41" s="10">
        <f>IF(AC41=0,0,VLOOKUP(AC41,Dropdown!$U$2:$V$6,2,FALSE))</f>
        <v>0</v>
      </c>
      <c r="AE41" s="20"/>
      <c r="AF41" s="10">
        <f>IF(AE41=0,0,VLOOKUP(AE41,Dropdown!$U$2:$V$6,2,FALSE))</f>
        <v>0</v>
      </c>
      <c r="AG41" s="20"/>
      <c r="AH41" s="10">
        <f>IF(AG41=0,0,VLOOKUP(AG41,Dropdown!$U$2:$V$6,2,FALSE))</f>
        <v>0</v>
      </c>
      <c r="AI41" s="20"/>
      <c r="AJ41" s="10">
        <f>IF(AI41=0,0,VLOOKUP(AI41,Dropdown!$U$2:$V$6,2,FALSE))</f>
        <v>0</v>
      </c>
      <c r="AK41" s="20"/>
      <c r="AL41" s="10">
        <f>IF(AK41=0,0,VLOOKUP(AK41,Dropdown!$U$2:$V$6,2,FALSE))</f>
        <v>0</v>
      </c>
      <c r="AM41" s="20"/>
      <c r="AN41" s="10">
        <f>IF(AM41=0,0,VLOOKUP(AM41,Dropdown!$U$2:$V$6,2,FALSE))</f>
        <v>0</v>
      </c>
      <c r="AO41" s="20"/>
      <c r="AP41" s="20"/>
      <c r="AQ41" s="10">
        <f>IF(AP41="",0,VLOOKUP(AP41,Dropdown!$U$2:$V$6,2,FALSE))</f>
        <v>0</v>
      </c>
      <c r="AR41" s="20"/>
      <c r="AS41" s="10">
        <f>IF(AR41="",0,VLOOKUP(AR41,Dropdown!$U$2:$V$6,2,FALSE))</f>
        <v>0</v>
      </c>
      <c r="AT41" s="20"/>
      <c r="AU41" s="10">
        <f>IF(AT41="",0,VLOOKUP(AT41,Dropdown!$U$2:$V$6,2,FALSE))</f>
        <v>0</v>
      </c>
      <c r="AV41" s="20"/>
      <c r="AW41" s="10">
        <f>IF(AV41="",0,VLOOKUP(AV41,Dropdown!$U$2:$V$6,2,FALSE))</f>
        <v>0</v>
      </c>
      <c r="AX41" s="20"/>
      <c r="AY41" s="10">
        <f>IF(AX41="",0,VLOOKUP(AX41,Dropdown!$U$2:$V$6,2,FALSE))</f>
        <v>0</v>
      </c>
      <c r="AZ41" s="20"/>
      <c r="BA41" s="10">
        <f>IF(AZ41="",0,VLOOKUP(AZ41,Dropdown!$U$2:$V$6,2,FALSE))</f>
        <v>0</v>
      </c>
      <c r="BB41" s="20"/>
      <c r="BC41" s="10">
        <f>IF(BB41="",0,VLOOKUP(BB41,Dropdown!$U$2:$V$6,2,FALSE))</f>
        <v>0</v>
      </c>
      <c r="BD41" s="20"/>
      <c r="BE41" s="10">
        <f>IF(BD41="",0,VLOOKUP(BD41,Dropdown!$U$2:$V$6,2,FALSE))</f>
        <v>0</v>
      </c>
    </row>
    <row r="42" spans="1:57" ht="14.4" customHeight="1" x14ac:dyDescent="0.3">
      <c r="A42" s="32" t="s">
        <v>65</v>
      </c>
      <c r="B42" s="10">
        <f>VLOOKUP(A42,Vulnerabilty!$B$3:$C$56,2,FALSE)</f>
        <v>0</v>
      </c>
      <c r="C42" s="10"/>
      <c r="D42" s="10"/>
      <c r="E42" s="20" t="s">
        <v>113</v>
      </c>
      <c r="F42" s="10">
        <f>IF(E42=0,0,VLOOKUP(E42,Dropdown!$A$1:$B$7,2,FALSE))</f>
        <v>0</v>
      </c>
      <c r="G42" s="20" t="s">
        <v>114</v>
      </c>
      <c r="H42" s="10">
        <f>IF(G42=0,0,VLOOKUP(G42,Dropdown!$C$2:$D$7,2,FALSE))</f>
        <v>0</v>
      </c>
      <c r="I42" s="20" t="s">
        <v>107</v>
      </c>
      <c r="J42" s="10" t="e">
        <f>IF('Hazard information'!I42=0,0,VLOOKUP(I42,Dropdown!$K$2:$L$7,2,FALSE))</f>
        <v>#N/A</v>
      </c>
      <c r="K42" s="20" t="s">
        <v>107</v>
      </c>
      <c r="L42" s="10" t="e">
        <f>IF(K42=0,0,VLOOKUP(K42,Dropdown!$E$2:$F$7,2,FALSE))</f>
        <v>#N/A</v>
      </c>
      <c r="M42" s="20" t="s">
        <v>108</v>
      </c>
      <c r="N42" s="10">
        <f>IF(M42=0,0,VLOOKUP(M42,Dropdown!$G$2:$H$7,2,FALSE))</f>
        <v>0</v>
      </c>
      <c r="O42" s="20" t="s">
        <v>109</v>
      </c>
      <c r="P42" s="10">
        <f>IF('Hazard information'!O42=0,0,VLOOKUP(O42,Dropdown!$I$1:$J$7,2,FALSE))</f>
        <v>0</v>
      </c>
      <c r="Q42" s="20" t="s">
        <v>110</v>
      </c>
      <c r="R42" s="10">
        <f>IF(Q42=0,0,VLOOKUP(Q42,Dropdown!$M$2:$N$7,2,FALSE))</f>
        <v>0</v>
      </c>
      <c r="S42" s="20" t="s">
        <v>111</v>
      </c>
      <c r="T42" s="10">
        <f>IF(S42=0,0,VLOOKUP(S42,Dropdown!$O$2:$P$7,2,FALSE))</f>
        <v>0</v>
      </c>
      <c r="U42" s="20" t="s">
        <v>108</v>
      </c>
      <c r="V42" s="10">
        <f>IF(U42=0,0,VLOOKUP(U42,Dropdown!$Q$2:$R$7,2,FALSE))</f>
        <v>0</v>
      </c>
      <c r="W42" s="20" t="s">
        <v>112</v>
      </c>
      <c r="X42" s="10">
        <f>IF(W42=0,0,VLOOKUP(W42,Dropdown!$S$2:$T$7,2,FALSE))</f>
        <v>0</v>
      </c>
      <c r="Y42" s="20"/>
      <c r="Z42" s="10">
        <f>IF(Y42=0,0,VLOOKUP(Y42,Dropdown!$U$2:$V$6,2,FALSE))</f>
        <v>0</v>
      </c>
      <c r="AA42" s="20"/>
      <c r="AB42" s="10">
        <f>IF(AA42=0,0,VLOOKUP(AA42,Dropdown!$U$2:$V$6,2,FALSE))</f>
        <v>0</v>
      </c>
      <c r="AC42" s="20"/>
      <c r="AD42" s="10">
        <f>IF(AC42=0,0,VLOOKUP(AC42,Dropdown!$U$2:$V$6,2,FALSE))</f>
        <v>0</v>
      </c>
      <c r="AE42" s="20"/>
      <c r="AF42" s="10">
        <f>IF(AE42=0,0,VLOOKUP(AE42,Dropdown!$U$2:$V$6,2,FALSE))</f>
        <v>0</v>
      </c>
      <c r="AG42" s="20"/>
      <c r="AH42" s="10">
        <f>IF(AG42=0,0,VLOOKUP(AG42,Dropdown!$U$2:$V$6,2,FALSE))</f>
        <v>0</v>
      </c>
      <c r="AI42" s="20"/>
      <c r="AJ42" s="10">
        <f>IF(AI42=0,0,VLOOKUP(AI42,Dropdown!$U$2:$V$6,2,FALSE))</f>
        <v>0</v>
      </c>
      <c r="AK42" s="20"/>
      <c r="AL42" s="10">
        <f>IF(AK42=0,0,VLOOKUP(AK42,Dropdown!$U$2:$V$6,2,FALSE))</f>
        <v>0</v>
      </c>
      <c r="AM42" s="20"/>
      <c r="AN42" s="10">
        <f>IF(AM42=0,0,VLOOKUP(AM42,Dropdown!$U$2:$V$6,2,FALSE))</f>
        <v>0</v>
      </c>
      <c r="AO42" s="20"/>
      <c r="AP42" s="20"/>
      <c r="AQ42" s="10">
        <f>IF(AP42="",0,VLOOKUP(AP42,Dropdown!$U$2:$V$6,2,FALSE))</f>
        <v>0</v>
      </c>
      <c r="AR42" s="20"/>
      <c r="AS42" s="10">
        <f>IF(AR42="",0,VLOOKUP(AR42,Dropdown!$U$2:$V$6,2,FALSE))</f>
        <v>0</v>
      </c>
      <c r="AT42" s="20"/>
      <c r="AU42" s="10">
        <f>IF(AT42="",0,VLOOKUP(AT42,Dropdown!$U$2:$V$6,2,FALSE))</f>
        <v>0</v>
      </c>
      <c r="AV42" s="20"/>
      <c r="AW42" s="10">
        <f>IF(AV42="",0,VLOOKUP(AV42,Dropdown!$U$2:$V$6,2,FALSE))</f>
        <v>0</v>
      </c>
      <c r="AX42" s="20"/>
      <c r="AY42" s="10">
        <f>IF(AX42="",0,VLOOKUP(AX42,Dropdown!$U$2:$V$6,2,FALSE))</f>
        <v>0</v>
      </c>
      <c r="AZ42" s="20"/>
      <c r="BA42" s="10">
        <f>IF(AZ42="",0,VLOOKUP(AZ42,Dropdown!$U$2:$V$6,2,FALSE))</f>
        <v>0</v>
      </c>
      <c r="BB42" s="20"/>
      <c r="BC42" s="10">
        <f>IF(BB42="",0,VLOOKUP(BB42,Dropdown!$U$2:$V$6,2,FALSE))</f>
        <v>0</v>
      </c>
      <c r="BD42" s="20"/>
      <c r="BE42" s="10">
        <f>IF(BD42="",0,VLOOKUP(BD42,Dropdown!$U$2:$V$6,2,FALSE))</f>
        <v>0</v>
      </c>
    </row>
    <row r="43" spans="1:57" ht="14.4" customHeight="1" x14ac:dyDescent="0.3">
      <c r="A43" s="32" t="s">
        <v>66</v>
      </c>
      <c r="B43" s="10">
        <f>VLOOKUP(A43,Vulnerabilty!$B$3:$C$56,2,FALSE)</f>
        <v>0</v>
      </c>
      <c r="C43" s="10"/>
      <c r="D43" s="10"/>
      <c r="E43" s="20" t="s">
        <v>113</v>
      </c>
      <c r="F43" s="10">
        <f>IF(E43=0,0,VLOOKUP(E43,Dropdown!$A$1:$B$7,2,FALSE))</f>
        <v>0</v>
      </c>
      <c r="G43" s="20" t="s">
        <v>114</v>
      </c>
      <c r="H43" s="10">
        <f>IF(G43=0,0,VLOOKUP(G43,Dropdown!$C$2:$D$7,2,FALSE))</f>
        <v>0</v>
      </c>
      <c r="I43" s="20" t="s">
        <v>107</v>
      </c>
      <c r="J43" s="10" t="e">
        <f>IF('Hazard information'!I43=0,0,VLOOKUP(I43,Dropdown!$K$2:$L$7,2,FALSE))</f>
        <v>#N/A</v>
      </c>
      <c r="K43" s="20" t="s">
        <v>107</v>
      </c>
      <c r="L43" s="10" t="e">
        <f>IF(K43=0,0,VLOOKUP(K43,Dropdown!$E$2:$F$7,2,FALSE))</f>
        <v>#N/A</v>
      </c>
      <c r="M43" s="20" t="s">
        <v>108</v>
      </c>
      <c r="N43" s="10">
        <f>IF(M43=0,0,VLOOKUP(M43,Dropdown!$G$2:$H$7,2,FALSE))</f>
        <v>0</v>
      </c>
      <c r="O43" s="20" t="s">
        <v>109</v>
      </c>
      <c r="P43" s="10">
        <f>IF('Hazard information'!O43=0,0,VLOOKUP(O43,Dropdown!$I$1:$J$7,2,FALSE))</f>
        <v>0</v>
      </c>
      <c r="Q43" s="20" t="s">
        <v>110</v>
      </c>
      <c r="R43" s="10">
        <f>IF(Q43=0,0,VLOOKUP(Q43,Dropdown!$M$2:$N$7,2,FALSE))</f>
        <v>0</v>
      </c>
      <c r="S43" s="20" t="s">
        <v>111</v>
      </c>
      <c r="T43" s="10">
        <f>IF(S43=0,0,VLOOKUP(S43,Dropdown!$O$2:$P$7,2,FALSE))</f>
        <v>0</v>
      </c>
      <c r="U43" s="20" t="s">
        <v>108</v>
      </c>
      <c r="V43" s="10">
        <f>IF(U43=0,0,VLOOKUP(U43,Dropdown!$Q$2:$R$7,2,FALSE))</f>
        <v>0</v>
      </c>
      <c r="W43" s="20" t="s">
        <v>112</v>
      </c>
      <c r="X43" s="10">
        <f>IF(W43=0,0,VLOOKUP(W43,Dropdown!$S$2:$T$7,2,FALSE))</f>
        <v>0</v>
      </c>
      <c r="Y43" s="20"/>
      <c r="Z43" s="10">
        <f>IF(Y43=0,0,VLOOKUP(Y43,Dropdown!$U$2:$V$6,2,FALSE))</f>
        <v>0</v>
      </c>
      <c r="AA43" s="20"/>
      <c r="AB43" s="10">
        <f>IF(AA43=0,0,VLOOKUP(AA43,Dropdown!$U$2:$V$6,2,FALSE))</f>
        <v>0</v>
      </c>
      <c r="AC43" s="20"/>
      <c r="AD43" s="10">
        <f>IF(AC43=0,0,VLOOKUP(AC43,Dropdown!$U$2:$V$6,2,FALSE))</f>
        <v>0</v>
      </c>
      <c r="AE43" s="20"/>
      <c r="AF43" s="10">
        <f>IF(AE43=0,0,VLOOKUP(AE43,Dropdown!$U$2:$V$6,2,FALSE))</f>
        <v>0</v>
      </c>
      <c r="AG43" s="20"/>
      <c r="AH43" s="10">
        <f>IF(AG43=0,0,VLOOKUP(AG43,Dropdown!$U$2:$V$6,2,FALSE))</f>
        <v>0</v>
      </c>
      <c r="AI43" s="20"/>
      <c r="AJ43" s="10">
        <f>IF(AI43=0,0,VLOOKUP(AI43,Dropdown!$U$2:$V$6,2,FALSE))</f>
        <v>0</v>
      </c>
      <c r="AK43" s="20"/>
      <c r="AL43" s="10">
        <f>IF(AK43=0,0,VLOOKUP(AK43,Dropdown!$U$2:$V$6,2,FALSE))</f>
        <v>0</v>
      </c>
      <c r="AM43" s="20"/>
      <c r="AN43" s="10">
        <f>IF(AM43=0,0,VLOOKUP(AM43,Dropdown!$U$2:$V$6,2,FALSE))</f>
        <v>0</v>
      </c>
      <c r="AO43" s="20"/>
      <c r="AP43" s="20"/>
      <c r="AQ43" s="10">
        <f>IF(AP43="",0,VLOOKUP(AP43,Dropdown!$U$2:$V$6,2,FALSE))</f>
        <v>0</v>
      </c>
      <c r="AR43" s="20"/>
      <c r="AS43" s="10">
        <f>IF(AR43="",0,VLOOKUP(AR43,Dropdown!$U$2:$V$6,2,FALSE))</f>
        <v>0</v>
      </c>
      <c r="AT43" s="20"/>
      <c r="AU43" s="10">
        <f>IF(AT43="",0,VLOOKUP(AT43,Dropdown!$U$2:$V$6,2,FALSE))</f>
        <v>0</v>
      </c>
      <c r="AV43" s="20"/>
      <c r="AW43" s="10">
        <f>IF(AV43="",0,VLOOKUP(AV43,Dropdown!$U$2:$V$6,2,FALSE))</f>
        <v>0</v>
      </c>
      <c r="AX43" s="20"/>
      <c r="AY43" s="10">
        <f>IF(AX43="",0,VLOOKUP(AX43,Dropdown!$U$2:$V$6,2,FALSE))</f>
        <v>0</v>
      </c>
      <c r="AZ43" s="20"/>
      <c r="BA43" s="10">
        <f>IF(AZ43="",0,VLOOKUP(AZ43,Dropdown!$U$2:$V$6,2,FALSE))</f>
        <v>0</v>
      </c>
      <c r="BB43" s="20"/>
      <c r="BC43" s="10">
        <f>IF(BB43="",0,VLOOKUP(BB43,Dropdown!$U$2:$V$6,2,FALSE))</f>
        <v>0</v>
      </c>
      <c r="BD43" s="20"/>
      <c r="BE43" s="10">
        <f>IF(BD43="",0,VLOOKUP(BD43,Dropdown!$U$2:$V$6,2,FALSE))</f>
        <v>0</v>
      </c>
    </row>
    <row r="44" spans="1:57" ht="14.4" customHeight="1" x14ac:dyDescent="0.3">
      <c r="A44" s="32" t="s">
        <v>67</v>
      </c>
      <c r="B44" s="10">
        <f>VLOOKUP(A44,Vulnerabilty!$B$3:$C$56,2,FALSE)</f>
        <v>0</v>
      </c>
      <c r="C44" s="10"/>
      <c r="D44" s="10"/>
      <c r="E44" s="20" t="s">
        <v>113</v>
      </c>
      <c r="F44" s="10">
        <f>IF(E44=0,0,VLOOKUP(E44,Dropdown!$A$1:$B$7,2,FALSE))</f>
        <v>0</v>
      </c>
      <c r="G44" s="20" t="s">
        <v>114</v>
      </c>
      <c r="H44" s="10">
        <f>IF(G44=0,0,VLOOKUP(G44,Dropdown!$C$2:$D$7,2,FALSE))</f>
        <v>0</v>
      </c>
      <c r="I44" s="20" t="s">
        <v>107</v>
      </c>
      <c r="J44" s="10" t="e">
        <f>IF('Hazard information'!I44=0,0,VLOOKUP(I44,Dropdown!$K$2:$L$7,2,FALSE))</f>
        <v>#N/A</v>
      </c>
      <c r="K44" s="20" t="s">
        <v>107</v>
      </c>
      <c r="L44" s="10" t="e">
        <f>IF(K44=0,0,VLOOKUP(K44,Dropdown!$E$2:$F$7,2,FALSE))</f>
        <v>#N/A</v>
      </c>
      <c r="M44" s="20" t="s">
        <v>108</v>
      </c>
      <c r="N44" s="10">
        <f>IF(M44=0,0,VLOOKUP(M44,Dropdown!$G$2:$H$7,2,FALSE))</f>
        <v>0</v>
      </c>
      <c r="O44" s="20" t="s">
        <v>109</v>
      </c>
      <c r="P44" s="10">
        <f>IF('Hazard information'!O44=0,0,VLOOKUP(O44,Dropdown!$I$1:$J$7,2,FALSE))</f>
        <v>0</v>
      </c>
      <c r="Q44" s="20" t="s">
        <v>110</v>
      </c>
      <c r="R44" s="10">
        <f>IF(Q44=0,0,VLOOKUP(Q44,Dropdown!$M$2:$N$7,2,FALSE))</f>
        <v>0</v>
      </c>
      <c r="S44" s="20" t="s">
        <v>111</v>
      </c>
      <c r="T44" s="10">
        <f>IF(S44=0,0,VLOOKUP(S44,Dropdown!$O$2:$P$7,2,FALSE))</f>
        <v>0</v>
      </c>
      <c r="U44" s="20" t="s">
        <v>108</v>
      </c>
      <c r="V44" s="10">
        <f>IF(U44=0,0,VLOOKUP(U44,Dropdown!$Q$2:$R$7,2,FALSE))</f>
        <v>0</v>
      </c>
      <c r="W44" s="20" t="s">
        <v>112</v>
      </c>
      <c r="X44" s="10">
        <f>IF(W44=0,0,VLOOKUP(W44,Dropdown!$S$2:$T$7,2,FALSE))</f>
        <v>0</v>
      </c>
      <c r="Y44" s="20"/>
      <c r="Z44" s="10">
        <f>IF(Y44=0,0,VLOOKUP(Y44,Dropdown!$U$2:$V$6,2,FALSE))</f>
        <v>0</v>
      </c>
      <c r="AA44" s="20"/>
      <c r="AB44" s="10">
        <f>IF(AA44=0,0,VLOOKUP(AA44,Dropdown!$U$2:$V$6,2,FALSE))</f>
        <v>0</v>
      </c>
      <c r="AC44" s="20"/>
      <c r="AD44" s="10">
        <f>IF(AC44=0,0,VLOOKUP(AC44,Dropdown!$U$2:$V$6,2,FALSE))</f>
        <v>0</v>
      </c>
      <c r="AE44" s="20"/>
      <c r="AF44" s="10">
        <f>IF(AE44=0,0,VLOOKUP(AE44,Dropdown!$U$2:$V$6,2,FALSE))</f>
        <v>0</v>
      </c>
      <c r="AG44" s="20"/>
      <c r="AH44" s="10">
        <f>IF(AG44=0,0,VLOOKUP(AG44,Dropdown!$U$2:$V$6,2,FALSE))</f>
        <v>0</v>
      </c>
      <c r="AI44" s="20"/>
      <c r="AJ44" s="10">
        <f>IF(AI44=0,0,VLOOKUP(AI44,Dropdown!$U$2:$V$6,2,FALSE))</f>
        <v>0</v>
      </c>
      <c r="AK44" s="20"/>
      <c r="AL44" s="10">
        <f>IF(AK44=0,0,VLOOKUP(AK44,Dropdown!$U$2:$V$6,2,FALSE))</f>
        <v>0</v>
      </c>
      <c r="AM44" s="20"/>
      <c r="AN44" s="10">
        <f>IF(AM44=0,0,VLOOKUP(AM44,Dropdown!$U$2:$V$6,2,FALSE))</f>
        <v>0</v>
      </c>
      <c r="AO44" s="20"/>
      <c r="AP44" s="20"/>
      <c r="AQ44" s="10">
        <f>IF(AP44="",0,VLOOKUP(AP44,Dropdown!$U$2:$V$6,2,FALSE))</f>
        <v>0</v>
      </c>
      <c r="AR44" s="20"/>
      <c r="AS44" s="10">
        <f>IF(AR44="",0,VLOOKUP(AR44,Dropdown!$U$2:$V$6,2,FALSE))</f>
        <v>0</v>
      </c>
      <c r="AT44" s="20"/>
      <c r="AU44" s="10">
        <f>IF(AT44="",0,VLOOKUP(AT44,Dropdown!$U$2:$V$6,2,FALSE))</f>
        <v>0</v>
      </c>
      <c r="AV44" s="20"/>
      <c r="AW44" s="10">
        <f>IF(AV44="",0,VLOOKUP(AV44,Dropdown!$U$2:$V$6,2,FALSE))</f>
        <v>0</v>
      </c>
      <c r="AX44" s="20"/>
      <c r="AY44" s="10">
        <f>IF(AX44="",0,VLOOKUP(AX44,Dropdown!$U$2:$V$6,2,FALSE))</f>
        <v>0</v>
      </c>
      <c r="AZ44" s="20"/>
      <c r="BA44" s="10">
        <f>IF(AZ44="",0,VLOOKUP(AZ44,Dropdown!$U$2:$V$6,2,FALSE))</f>
        <v>0</v>
      </c>
      <c r="BB44" s="20"/>
      <c r="BC44" s="10">
        <f>IF(BB44="",0,VLOOKUP(BB44,Dropdown!$U$2:$V$6,2,FALSE))</f>
        <v>0</v>
      </c>
      <c r="BD44" s="20"/>
      <c r="BE44" s="10">
        <f>IF(BD44="",0,VLOOKUP(BD44,Dropdown!$U$2:$V$6,2,FALSE))</f>
        <v>0</v>
      </c>
    </row>
    <row r="45" spans="1:57" ht="14.4" customHeight="1" x14ac:dyDescent="0.3">
      <c r="A45" s="32" t="s">
        <v>68</v>
      </c>
      <c r="B45" s="10">
        <f>VLOOKUP(A45,Vulnerabilty!$B$3:$C$56,2,FALSE)</f>
        <v>0</v>
      </c>
      <c r="C45" s="10"/>
      <c r="D45" s="10"/>
      <c r="E45" s="20" t="s">
        <v>113</v>
      </c>
      <c r="F45" s="10">
        <f>IF(E45=0,0,VLOOKUP(E45,Dropdown!$A$1:$B$7,2,FALSE))</f>
        <v>0</v>
      </c>
      <c r="G45" s="20" t="s">
        <v>114</v>
      </c>
      <c r="H45" s="10">
        <f>IF(G45=0,0,VLOOKUP(G45,Dropdown!$C$2:$D$7,2,FALSE))</f>
        <v>0</v>
      </c>
      <c r="I45" s="20" t="s">
        <v>107</v>
      </c>
      <c r="J45" s="10" t="e">
        <f>IF('Hazard information'!I45=0,0,VLOOKUP(I45,Dropdown!$K$2:$L$7,2,FALSE))</f>
        <v>#N/A</v>
      </c>
      <c r="K45" s="20" t="s">
        <v>107</v>
      </c>
      <c r="L45" s="10" t="e">
        <f>IF(K45=0,0,VLOOKUP(K45,Dropdown!$E$2:$F$7,2,FALSE))</f>
        <v>#N/A</v>
      </c>
      <c r="M45" s="20" t="s">
        <v>108</v>
      </c>
      <c r="N45" s="10">
        <f>IF(M45=0,0,VLOOKUP(M45,Dropdown!$G$2:$H$7,2,FALSE))</f>
        <v>0</v>
      </c>
      <c r="O45" s="20" t="s">
        <v>109</v>
      </c>
      <c r="P45" s="10">
        <f>IF('Hazard information'!O45=0,0,VLOOKUP(O45,Dropdown!$I$1:$J$7,2,FALSE))</f>
        <v>0</v>
      </c>
      <c r="Q45" s="20" t="s">
        <v>110</v>
      </c>
      <c r="R45" s="10">
        <f>IF(Q45=0,0,VLOOKUP(Q45,Dropdown!$M$2:$N$7,2,FALSE))</f>
        <v>0</v>
      </c>
      <c r="S45" s="20" t="s">
        <v>111</v>
      </c>
      <c r="T45" s="10">
        <f>IF(S45=0,0,VLOOKUP(S45,Dropdown!$O$2:$P$7,2,FALSE))</f>
        <v>0</v>
      </c>
      <c r="U45" s="20" t="s">
        <v>108</v>
      </c>
      <c r="V45" s="10">
        <f>IF(U45=0,0,VLOOKUP(U45,Dropdown!$Q$2:$R$7,2,FALSE))</f>
        <v>0</v>
      </c>
      <c r="W45" s="20" t="s">
        <v>112</v>
      </c>
      <c r="X45" s="10">
        <f>IF(W45=0,0,VLOOKUP(W45,Dropdown!$S$2:$T$7,2,FALSE))</f>
        <v>0</v>
      </c>
      <c r="Y45" s="20"/>
      <c r="Z45" s="10">
        <f>IF(Y45=0,0,VLOOKUP(Y45,Dropdown!$U$2:$V$6,2,FALSE))</f>
        <v>0</v>
      </c>
      <c r="AA45" s="20"/>
      <c r="AB45" s="10">
        <f>IF(AA45=0,0,VLOOKUP(AA45,Dropdown!$U$2:$V$6,2,FALSE))</f>
        <v>0</v>
      </c>
      <c r="AC45" s="20"/>
      <c r="AD45" s="10">
        <f>IF(AC45=0,0,VLOOKUP(AC45,Dropdown!$U$2:$V$6,2,FALSE))</f>
        <v>0</v>
      </c>
      <c r="AE45" s="20"/>
      <c r="AF45" s="10">
        <f>IF(AE45=0,0,VLOOKUP(AE45,Dropdown!$U$2:$V$6,2,FALSE))</f>
        <v>0</v>
      </c>
      <c r="AG45" s="20"/>
      <c r="AH45" s="10">
        <f>IF(AG45=0,0,VLOOKUP(AG45,Dropdown!$U$2:$V$6,2,FALSE))</f>
        <v>0</v>
      </c>
      <c r="AI45" s="20"/>
      <c r="AJ45" s="10">
        <f>IF(AI45=0,0,VLOOKUP(AI45,Dropdown!$U$2:$V$6,2,FALSE))</f>
        <v>0</v>
      </c>
      <c r="AK45" s="20"/>
      <c r="AL45" s="10">
        <f>IF(AK45=0,0,VLOOKUP(AK45,Dropdown!$U$2:$V$6,2,FALSE))</f>
        <v>0</v>
      </c>
      <c r="AM45" s="20"/>
      <c r="AN45" s="10">
        <f>IF(AM45=0,0,VLOOKUP(AM45,Dropdown!$U$2:$V$6,2,FALSE))</f>
        <v>0</v>
      </c>
      <c r="AO45" s="20"/>
      <c r="AP45" s="20"/>
      <c r="AQ45" s="10">
        <f>IF(AP45="",0,VLOOKUP(AP45,Dropdown!$U$2:$V$6,2,FALSE))</f>
        <v>0</v>
      </c>
      <c r="AR45" s="20"/>
      <c r="AS45" s="10">
        <f>IF(AR45="",0,VLOOKUP(AR45,Dropdown!$U$2:$V$6,2,FALSE))</f>
        <v>0</v>
      </c>
      <c r="AT45" s="20"/>
      <c r="AU45" s="10">
        <f>IF(AT45="",0,VLOOKUP(AT45,Dropdown!$U$2:$V$6,2,FALSE))</f>
        <v>0</v>
      </c>
      <c r="AV45" s="20"/>
      <c r="AW45" s="10">
        <f>IF(AV45="",0,VLOOKUP(AV45,Dropdown!$U$2:$V$6,2,FALSE))</f>
        <v>0</v>
      </c>
      <c r="AX45" s="20"/>
      <c r="AY45" s="10">
        <f>IF(AX45="",0,VLOOKUP(AX45,Dropdown!$U$2:$V$6,2,FALSE))</f>
        <v>0</v>
      </c>
      <c r="AZ45" s="20"/>
      <c r="BA45" s="10">
        <f>IF(AZ45="",0,VLOOKUP(AZ45,Dropdown!$U$2:$V$6,2,FALSE))</f>
        <v>0</v>
      </c>
      <c r="BB45" s="20"/>
      <c r="BC45" s="10">
        <f>IF(BB45="",0,VLOOKUP(BB45,Dropdown!$U$2:$V$6,2,FALSE))</f>
        <v>0</v>
      </c>
      <c r="BD45" s="20"/>
      <c r="BE45" s="10">
        <f>IF(BD45="",0,VLOOKUP(BD45,Dropdown!$U$2:$V$6,2,FALSE))</f>
        <v>0</v>
      </c>
    </row>
    <row r="46" spans="1:57" ht="14.4" customHeight="1" x14ac:dyDescent="0.3">
      <c r="A46" s="32" t="s">
        <v>69</v>
      </c>
      <c r="B46" s="10">
        <f>VLOOKUP(A46,Vulnerabilty!$B$3:$C$56,2,FALSE)</f>
        <v>0</v>
      </c>
      <c r="C46" s="10"/>
      <c r="D46" s="10"/>
      <c r="E46" s="20" t="s">
        <v>113</v>
      </c>
      <c r="F46" s="10">
        <f>IF(E46=0,0,VLOOKUP(E46,Dropdown!$A$1:$B$7,2,FALSE))</f>
        <v>0</v>
      </c>
      <c r="G46" s="20" t="s">
        <v>114</v>
      </c>
      <c r="H46" s="10">
        <f>IF(G46=0,0,VLOOKUP(G46,Dropdown!$C$2:$D$7,2,FALSE))</f>
        <v>0</v>
      </c>
      <c r="I46" s="20" t="s">
        <v>107</v>
      </c>
      <c r="J46" s="10" t="e">
        <f>IF('Hazard information'!I46=0,0,VLOOKUP(I46,Dropdown!$K$2:$L$7,2,FALSE))</f>
        <v>#N/A</v>
      </c>
      <c r="K46" s="20" t="s">
        <v>107</v>
      </c>
      <c r="L46" s="10" t="e">
        <f>IF(K46=0,0,VLOOKUP(K46,Dropdown!$E$2:$F$7,2,FALSE))</f>
        <v>#N/A</v>
      </c>
      <c r="M46" s="20" t="s">
        <v>108</v>
      </c>
      <c r="N46" s="10">
        <f>IF(M46=0,0,VLOOKUP(M46,Dropdown!$G$2:$H$7,2,FALSE))</f>
        <v>0</v>
      </c>
      <c r="O46" s="20" t="s">
        <v>109</v>
      </c>
      <c r="P46" s="10">
        <f>IF('Hazard information'!O46=0,0,VLOOKUP(O46,Dropdown!$I$1:$J$7,2,FALSE))</f>
        <v>0</v>
      </c>
      <c r="Q46" s="20" t="s">
        <v>110</v>
      </c>
      <c r="R46" s="10">
        <f>IF(Q46=0,0,VLOOKUP(Q46,Dropdown!$M$2:$N$7,2,FALSE))</f>
        <v>0</v>
      </c>
      <c r="S46" s="20" t="s">
        <v>111</v>
      </c>
      <c r="T46" s="10">
        <f>IF(S46=0,0,VLOOKUP(S46,Dropdown!$O$2:$P$7,2,FALSE))</f>
        <v>0</v>
      </c>
      <c r="U46" s="20" t="s">
        <v>108</v>
      </c>
      <c r="V46" s="10">
        <f>IF(U46=0,0,VLOOKUP(U46,Dropdown!$Q$2:$R$7,2,FALSE))</f>
        <v>0</v>
      </c>
      <c r="W46" s="20" t="s">
        <v>112</v>
      </c>
      <c r="X46" s="10">
        <f>IF(W46=0,0,VLOOKUP(W46,Dropdown!$S$2:$T$7,2,FALSE))</f>
        <v>0</v>
      </c>
      <c r="Y46" s="20"/>
      <c r="Z46" s="10">
        <f>IF(Y46=0,0,VLOOKUP(Y46,Dropdown!$U$2:$V$6,2,FALSE))</f>
        <v>0</v>
      </c>
      <c r="AA46" s="20"/>
      <c r="AB46" s="10">
        <f>IF(AA46=0,0,VLOOKUP(AA46,Dropdown!$U$2:$V$6,2,FALSE))</f>
        <v>0</v>
      </c>
      <c r="AC46" s="20"/>
      <c r="AD46" s="10">
        <f>IF(AC46=0,0,VLOOKUP(AC46,Dropdown!$U$2:$V$6,2,FALSE))</f>
        <v>0</v>
      </c>
      <c r="AE46" s="20"/>
      <c r="AF46" s="10">
        <f>IF(AE46=0,0,VLOOKUP(AE46,Dropdown!$U$2:$V$6,2,FALSE))</f>
        <v>0</v>
      </c>
      <c r="AG46" s="20"/>
      <c r="AH46" s="10">
        <f>IF(AG46=0,0,VLOOKUP(AG46,Dropdown!$U$2:$V$6,2,FALSE))</f>
        <v>0</v>
      </c>
      <c r="AI46" s="20"/>
      <c r="AJ46" s="10">
        <f>IF(AI46=0,0,VLOOKUP(AI46,Dropdown!$U$2:$V$6,2,FALSE))</f>
        <v>0</v>
      </c>
      <c r="AK46" s="20"/>
      <c r="AL46" s="10">
        <f>IF(AK46=0,0,VLOOKUP(AK46,Dropdown!$U$2:$V$6,2,FALSE))</f>
        <v>0</v>
      </c>
      <c r="AM46" s="20"/>
      <c r="AN46" s="10">
        <f>IF(AM46=0,0,VLOOKUP(AM46,Dropdown!$U$2:$V$6,2,FALSE))</f>
        <v>0</v>
      </c>
      <c r="AO46" s="20"/>
      <c r="AP46" s="20"/>
      <c r="AQ46" s="10">
        <f>IF(AP46="",0,VLOOKUP(AP46,Dropdown!$U$2:$V$6,2,FALSE))</f>
        <v>0</v>
      </c>
      <c r="AR46" s="20"/>
      <c r="AS46" s="10">
        <f>IF(AR46="",0,VLOOKUP(AR46,Dropdown!$U$2:$V$6,2,FALSE))</f>
        <v>0</v>
      </c>
      <c r="AT46" s="20"/>
      <c r="AU46" s="10">
        <f>IF(AT46="",0,VLOOKUP(AT46,Dropdown!$U$2:$V$6,2,FALSE))</f>
        <v>0</v>
      </c>
      <c r="AV46" s="20"/>
      <c r="AW46" s="10">
        <f>IF(AV46="",0,VLOOKUP(AV46,Dropdown!$U$2:$V$6,2,FALSE))</f>
        <v>0</v>
      </c>
      <c r="AX46" s="20"/>
      <c r="AY46" s="10">
        <f>IF(AX46="",0,VLOOKUP(AX46,Dropdown!$U$2:$V$6,2,FALSE))</f>
        <v>0</v>
      </c>
      <c r="AZ46" s="20"/>
      <c r="BA46" s="10">
        <f>IF(AZ46="",0,VLOOKUP(AZ46,Dropdown!$U$2:$V$6,2,FALSE))</f>
        <v>0</v>
      </c>
      <c r="BB46" s="20"/>
      <c r="BC46" s="10">
        <f>IF(BB46="",0,VLOOKUP(BB46,Dropdown!$U$2:$V$6,2,FALSE))</f>
        <v>0</v>
      </c>
      <c r="BD46" s="20"/>
      <c r="BE46" s="10">
        <f>IF(BD46="",0,VLOOKUP(BD46,Dropdown!$U$2:$V$6,2,FALSE))</f>
        <v>0</v>
      </c>
    </row>
    <row r="47" spans="1:57" ht="14.4" customHeight="1" x14ac:dyDescent="0.3">
      <c r="A47" s="32" t="s">
        <v>70</v>
      </c>
      <c r="B47" s="10">
        <f>VLOOKUP(A47,Vulnerabilty!$B$3:$C$56,2,FALSE)</f>
        <v>0</v>
      </c>
      <c r="C47" s="10"/>
      <c r="D47" s="40"/>
      <c r="E47" s="20" t="s">
        <v>113</v>
      </c>
      <c r="F47" s="10">
        <f>IF(E47=0,0,VLOOKUP(E47,Dropdown!$A$1:$B$7,2,FALSE))</f>
        <v>0</v>
      </c>
      <c r="G47" s="20" t="s">
        <v>114</v>
      </c>
      <c r="H47" s="10">
        <f>IF(G47=0,0,VLOOKUP(G47,Dropdown!$C$2:$D$7,2,FALSE))</f>
        <v>0</v>
      </c>
      <c r="I47" s="20" t="s">
        <v>107</v>
      </c>
      <c r="J47" s="10" t="e">
        <f>IF('Hazard information'!I47=0,0,VLOOKUP(I47,Dropdown!$K$2:$L$7,2,FALSE))</f>
        <v>#N/A</v>
      </c>
      <c r="K47" s="20" t="s">
        <v>107</v>
      </c>
      <c r="L47" s="10" t="e">
        <f>IF(K47=0,0,VLOOKUP(K47,Dropdown!$E$2:$F$7,2,FALSE))</f>
        <v>#N/A</v>
      </c>
      <c r="M47" s="20" t="s">
        <v>108</v>
      </c>
      <c r="N47" s="10">
        <f>IF(M47=0,0,VLOOKUP(M47,Dropdown!$G$2:$H$7,2,FALSE))</f>
        <v>0</v>
      </c>
      <c r="O47" s="20" t="s">
        <v>109</v>
      </c>
      <c r="P47" s="10">
        <f>IF('Hazard information'!O47=0,0,VLOOKUP(O47,Dropdown!$I$1:$J$7,2,FALSE))</f>
        <v>0</v>
      </c>
      <c r="Q47" s="20" t="s">
        <v>110</v>
      </c>
      <c r="R47" s="10">
        <f>IF(Q47=0,0,VLOOKUP(Q47,Dropdown!$M$2:$N$7,2,FALSE))</f>
        <v>0</v>
      </c>
      <c r="S47" s="20" t="s">
        <v>111</v>
      </c>
      <c r="T47" s="10">
        <f>IF(S47=0,0,VLOOKUP(S47,Dropdown!$O$2:$P$7,2,FALSE))</f>
        <v>0</v>
      </c>
      <c r="U47" s="20" t="s">
        <v>108</v>
      </c>
      <c r="V47" s="10">
        <f>IF(U47=0,0,VLOOKUP(U47,Dropdown!$Q$2:$R$7,2,FALSE))</f>
        <v>0</v>
      </c>
      <c r="W47" s="20" t="s">
        <v>112</v>
      </c>
      <c r="X47" s="10">
        <f>IF(W47=0,0,VLOOKUP(W47,Dropdown!$S$2:$T$7,2,FALSE))</f>
        <v>0</v>
      </c>
      <c r="Y47" s="20"/>
      <c r="Z47" s="10">
        <f>IF(Y47=0,0,VLOOKUP(Y47,Dropdown!$U$2:$V$6,2,FALSE))</f>
        <v>0</v>
      </c>
      <c r="AA47" s="20"/>
      <c r="AB47" s="10">
        <f>IF(AA47=0,0,VLOOKUP(AA47,Dropdown!$U$2:$V$6,2,FALSE))</f>
        <v>0</v>
      </c>
      <c r="AC47" s="20"/>
      <c r="AD47" s="10">
        <f>IF(AC47=0,0,VLOOKUP(AC47,Dropdown!$U$2:$V$6,2,FALSE))</f>
        <v>0</v>
      </c>
      <c r="AE47" s="20"/>
      <c r="AF47" s="10">
        <f>IF(AE47=0,0,VLOOKUP(AE47,Dropdown!$U$2:$V$6,2,FALSE))</f>
        <v>0</v>
      </c>
      <c r="AG47" s="20"/>
      <c r="AH47" s="10">
        <f>IF(AG47=0,0,VLOOKUP(AG47,Dropdown!$U$2:$V$6,2,FALSE))</f>
        <v>0</v>
      </c>
      <c r="AI47" s="20"/>
      <c r="AJ47" s="10">
        <f>IF(AI47=0,0,VLOOKUP(AI47,Dropdown!$U$2:$V$6,2,FALSE))</f>
        <v>0</v>
      </c>
      <c r="AK47" s="20"/>
      <c r="AL47" s="10">
        <f>IF(AK47=0,0,VLOOKUP(AK47,Dropdown!$U$2:$V$6,2,FALSE))</f>
        <v>0</v>
      </c>
      <c r="AM47" s="20"/>
      <c r="AN47" s="10">
        <f>IF(AM47=0,0,VLOOKUP(AM47,Dropdown!$U$2:$V$6,2,FALSE))</f>
        <v>0</v>
      </c>
      <c r="AO47" s="20"/>
      <c r="AP47" s="20"/>
      <c r="AQ47" s="10">
        <f>IF(AP47="",0,VLOOKUP(AP47,Dropdown!$U$2:$V$6,2,FALSE))</f>
        <v>0</v>
      </c>
      <c r="AR47" s="20"/>
      <c r="AS47" s="10">
        <f>IF(AR47="",0,VLOOKUP(AR47,Dropdown!$U$2:$V$6,2,FALSE))</f>
        <v>0</v>
      </c>
      <c r="AT47" s="20"/>
      <c r="AU47" s="10">
        <f>IF(AT47="",0,VLOOKUP(AT47,Dropdown!$U$2:$V$6,2,FALSE))</f>
        <v>0</v>
      </c>
      <c r="AV47" s="20"/>
      <c r="AW47" s="10">
        <f>IF(AV47="",0,VLOOKUP(AV47,Dropdown!$U$2:$V$6,2,FALSE))</f>
        <v>0</v>
      </c>
      <c r="AX47" s="20"/>
      <c r="AY47" s="10">
        <f>IF(AX47="",0,VLOOKUP(AX47,Dropdown!$U$2:$V$6,2,FALSE))</f>
        <v>0</v>
      </c>
      <c r="AZ47" s="20"/>
      <c r="BA47" s="10">
        <f>IF(AZ47="",0,VLOOKUP(AZ47,Dropdown!$U$2:$V$6,2,FALSE))</f>
        <v>0</v>
      </c>
      <c r="BB47" s="20"/>
      <c r="BC47" s="10">
        <f>IF(BB47="",0,VLOOKUP(BB47,Dropdown!$U$2:$V$6,2,FALSE))</f>
        <v>0</v>
      </c>
      <c r="BD47" s="20"/>
      <c r="BE47" s="10">
        <f>IF(BD47="",0,VLOOKUP(BD47,Dropdown!$U$2:$V$6,2,FALSE))</f>
        <v>0</v>
      </c>
    </row>
    <row r="48" spans="1:57" ht="14.4" customHeight="1" x14ac:dyDescent="0.3">
      <c r="A48" s="32" t="s">
        <v>71</v>
      </c>
      <c r="B48" s="10">
        <f>VLOOKUP(A48,Vulnerabilty!$B$3:$C$56,2,FALSE)</f>
        <v>0</v>
      </c>
      <c r="C48" s="10"/>
      <c r="D48" s="40"/>
      <c r="E48" s="20" t="s">
        <v>113</v>
      </c>
      <c r="F48" s="10">
        <f>IF(E48=0,0,VLOOKUP(E48,Dropdown!$A$1:$B$7,2,FALSE))</f>
        <v>0</v>
      </c>
      <c r="G48" s="20" t="s">
        <v>114</v>
      </c>
      <c r="H48" s="10">
        <f>IF(G48=0,0,VLOOKUP(G48,Dropdown!$C$2:$D$7,2,FALSE))</f>
        <v>0</v>
      </c>
      <c r="I48" s="20" t="s">
        <v>107</v>
      </c>
      <c r="J48" s="10" t="e">
        <f>IF('Hazard information'!I48=0,0,VLOOKUP(I48,Dropdown!$K$2:$L$7,2,FALSE))</f>
        <v>#N/A</v>
      </c>
      <c r="K48" s="20" t="s">
        <v>107</v>
      </c>
      <c r="L48" s="10" t="e">
        <f>IF(K48=0,0,VLOOKUP(K48,Dropdown!$E$2:$F$7,2,FALSE))</f>
        <v>#N/A</v>
      </c>
      <c r="M48" s="20" t="s">
        <v>108</v>
      </c>
      <c r="N48" s="10">
        <f>IF(M48=0,0,VLOOKUP(M48,Dropdown!$G$2:$H$7,2,FALSE))</f>
        <v>0</v>
      </c>
      <c r="O48" s="20" t="s">
        <v>109</v>
      </c>
      <c r="P48" s="10">
        <f>IF('Hazard information'!O48=0,0,VLOOKUP(O48,Dropdown!$I$1:$J$7,2,FALSE))</f>
        <v>0</v>
      </c>
      <c r="Q48" s="20" t="s">
        <v>110</v>
      </c>
      <c r="R48" s="10">
        <f>IF(Q48=0,0,VLOOKUP(Q48,Dropdown!$M$2:$N$7,2,FALSE))</f>
        <v>0</v>
      </c>
      <c r="S48" s="20" t="s">
        <v>111</v>
      </c>
      <c r="T48" s="10">
        <f>IF(S48=0,0,VLOOKUP(S48,Dropdown!$O$2:$P$7,2,FALSE))</f>
        <v>0</v>
      </c>
      <c r="U48" s="20" t="s">
        <v>108</v>
      </c>
      <c r="V48" s="10">
        <f>IF(U48=0,0,VLOOKUP(U48,Dropdown!$Q$2:$R$7,2,FALSE))</f>
        <v>0</v>
      </c>
      <c r="W48" s="20" t="s">
        <v>112</v>
      </c>
      <c r="X48" s="10">
        <f>IF(W48=0,0,VLOOKUP(W48,Dropdown!$S$2:$T$7,2,FALSE))</f>
        <v>0</v>
      </c>
      <c r="Y48" s="20"/>
      <c r="Z48" s="10">
        <f>IF(Y48=0,0,VLOOKUP(Y48,Dropdown!$U$2:$V$6,2,FALSE))</f>
        <v>0</v>
      </c>
      <c r="AA48" s="20"/>
      <c r="AB48" s="10">
        <f>IF(AA48=0,0,VLOOKUP(AA48,Dropdown!$U$2:$V$6,2,FALSE))</f>
        <v>0</v>
      </c>
      <c r="AC48" s="20"/>
      <c r="AD48" s="10">
        <f>IF(AC48=0,0,VLOOKUP(AC48,Dropdown!$U$2:$V$6,2,FALSE))</f>
        <v>0</v>
      </c>
      <c r="AE48" s="20"/>
      <c r="AF48" s="10">
        <f>IF(AE48=0,0,VLOOKUP(AE48,Dropdown!$U$2:$V$6,2,FALSE))</f>
        <v>0</v>
      </c>
      <c r="AG48" s="20"/>
      <c r="AH48" s="10">
        <f>IF(AG48=0,0,VLOOKUP(AG48,Dropdown!$U$2:$V$6,2,FALSE))</f>
        <v>0</v>
      </c>
      <c r="AI48" s="20"/>
      <c r="AJ48" s="10">
        <f>IF(AI48=0,0,VLOOKUP(AI48,Dropdown!$U$2:$V$6,2,FALSE))</f>
        <v>0</v>
      </c>
      <c r="AK48" s="20"/>
      <c r="AL48" s="10">
        <f>IF(AK48=0,0,VLOOKUP(AK48,Dropdown!$U$2:$V$6,2,FALSE))</f>
        <v>0</v>
      </c>
      <c r="AM48" s="20"/>
      <c r="AN48" s="10">
        <f>IF(AM48=0,0,VLOOKUP(AM48,Dropdown!$U$2:$V$6,2,FALSE))</f>
        <v>0</v>
      </c>
      <c r="AO48" s="20"/>
      <c r="AP48" s="20"/>
      <c r="AQ48" s="10">
        <f>IF(AP48="",0,VLOOKUP(AP48,Dropdown!$U$2:$V$6,2,FALSE))</f>
        <v>0</v>
      </c>
      <c r="AR48" s="20"/>
      <c r="AS48" s="10">
        <f>IF(AR48="",0,VLOOKUP(AR48,Dropdown!$U$2:$V$6,2,FALSE))</f>
        <v>0</v>
      </c>
      <c r="AT48" s="20"/>
      <c r="AU48" s="10">
        <f>IF(AT48="",0,VLOOKUP(AT48,Dropdown!$U$2:$V$6,2,FALSE))</f>
        <v>0</v>
      </c>
      <c r="AV48" s="20"/>
      <c r="AW48" s="10">
        <f>IF(AV48="",0,VLOOKUP(AV48,Dropdown!$U$2:$V$6,2,FALSE))</f>
        <v>0</v>
      </c>
      <c r="AX48" s="20"/>
      <c r="AY48" s="10">
        <f>IF(AX48="",0,VLOOKUP(AX48,Dropdown!$U$2:$V$6,2,FALSE))</f>
        <v>0</v>
      </c>
      <c r="AZ48" s="20"/>
      <c r="BA48" s="10">
        <f>IF(AZ48="",0,VLOOKUP(AZ48,Dropdown!$U$2:$V$6,2,FALSE))</f>
        <v>0</v>
      </c>
      <c r="BB48" s="20"/>
      <c r="BC48" s="10">
        <f>IF(BB48="",0,VLOOKUP(BB48,Dropdown!$U$2:$V$6,2,FALSE))</f>
        <v>0</v>
      </c>
      <c r="BD48" s="20"/>
      <c r="BE48" s="10">
        <f>IF(BD48="",0,VLOOKUP(BD48,Dropdown!$U$2:$V$6,2,FALSE))</f>
        <v>0</v>
      </c>
    </row>
    <row r="49" spans="1:57" ht="14.4" customHeight="1" x14ac:dyDescent="0.3">
      <c r="A49" s="32" t="s">
        <v>72</v>
      </c>
      <c r="B49" s="10">
        <f>VLOOKUP(A49,Vulnerabilty!$B$3:$C$56,2,FALSE)</f>
        <v>0</v>
      </c>
      <c r="C49" s="10"/>
      <c r="D49" s="40"/>
      <c r="E49" s="20" t="s">
        <v>105</v>
      </c>
      <c r="F49" s="10">
        <f>IF(E49=0,0,VLOOKUP(E49,Dropdown!$A$1:$B$7,2,FALSE))</f>
        <v>3</v>
      </c>
      <c r="G49" s="20" t="s">
        <v>120</v>
      </c>
      <c r="H49" s="10">
        <f>IF(G49=0,0,VLOOKUP(G49,Dropdown!$C$2:$D$7,2,FALSE))</f>
        <v>4</v>
      </c>
      <c r="I49" s="20" t="s">
        <v>117</v>
      </c>
      <c r="J49" s="10">
        <f>IF('Hazard information'!I49=0,0,VLOOKUP(I49,Dropdown!$K$2:$L$7,2,FALSE))</f>
        <v>5</v>
      </c>
      <c r="K49" s="20" t="s">
        <v>121</v>
      </c>
      <c r="L49" s="10">
        <f>IF(K49=0,0,VLOOKUP(K49,Dropdown!$E$2:$F$7,2,FALSE))</f>
        <v>3</v>
      </c>
      <c r="M49" s="20" t="s">
        <v>122</v>
      </c>
      <c r="N49" s="10">
        <f>IF(M49=0,0,VLOOKUP(M49,Dropdown!$G$2:$H$7,2,FALSE))</f>
        <v>4</v>
      </c>
      <c r="O49" s="20" t="s">
        <v>109</v>
      </c>
      <c r="P49" s="10">
        <f>IF('Hazard information'!O49=0,0,VLOOKUP(O49,Dropdown!$I$1:$J$7,2,FALSE))</f>
        <v>0</v>
      </c>
      <c r="Q49" s="20" t="s">
        <v>110</v>
      </c>
      <c r="R49" s="10">
        <f>IF(Q49=0,0,VLOOKUP(Q49,Dropdown!$M$2:$N$7,2,FALSE))</f>
        <v>0</v>
      </c>
      <c r="S49" s="20" t="s">
        <v>111</v>
      </c>
      <c r="T49" s="10">
        <f>IF(S49=0,0,VLOOKUP(S49,Dropdown!$O$2:$P$7,2,FALSE))</f>
        <v>0</v>
      </c>
      <c r="U49" s="20" t="s">
        <v>108</v>
      </c>
      <c r="V49" s="10">
        <f>IF(U49=0,0,VLOOKUP(U49,Dropdown!$Q$2:$R$7,2,FALSE))</f>
        <v>0</v>
      </c>
      <c r="W49" s="20" t="s">
        <v>112</v>
      </c>
      <c r="X49" s="10">
        <f>IF(W49=0,0,VLOOKUP(W49,Dropdown!$S$2:$T$7,2,FALSE))</f>
        <v>0</v>
      </c>
      <c r="Y49" s="20"/>
      <c r="Z49" s="10">
        <f>IF(Y49=0,0,VLOOKUP(Y49,Dropdown!$U$2:$V$6,2,FALSE))</f>
        <v>0</v>
      </c>
      <c r="AA49" s="20"/>
      <c r="AB49" s="10">
        <f>IF(AA49=0,0,VLOOKUP(AA49,Dropdown!$U$2:$V$6,2,FALSE))</f>
        <v>0</v>
      </c>
      <c r="AC49" s="20"/>
      <c r="AD49" s="10">
        <f>IF(AC49=0,0,VLOOKUP(AC49,Dropdown!$U$2:$V$6,2,FALSE))</f>
        <v>0</v>
      </c>
      <c r="AE49" s="20"/>
      <c r="AF49" s="10">
        <f>IF(AE49=0,0,VLOOKUP(AE49,Dropdown!$U$2:$V$6,2,FALSE))</f>
        <v>0</v>
      </c>
      <c r="AG49" s="20"/>
      <c r="AH49" s="10">
        <f>IF(AG49=0,0,VLOOKUP(AG49,Dropdown!$U$2:$V$6,2,FALSE))</f>
        <v>0</v>
      </c>
      <c r="AI49" s="20"/>
      <c r="AJ49" s="10">
        <f>IF(AI49=0,0,VLOOKUP(AI49,Dropdown!$U$2:$V$6,2,FALSE))</f>
        <v>0</v>
      </c>
      <c r="AK49" s="20"/>
      <c r="AL49" s="10">
        <f>IF(AK49=0,0,VLOOKUP(AK49,Dropdown!$U$2:$V$6,2,FALSE))</f>
        <v>0</v>
      </c>
      <c r="AM49" s="20"/>
      <c r="AN49" s="10">
        <f>IF(AM49=0,0,VLOOKUP(AM49,Dropdown!$U$2:$V$6,2,FALSE))</f>
        <v>0</v>
      </c>
      <c r="AO49" s="20"/>
      <c r="AP49" s="20"/>
      <c r="AQ49" s="10">
        <f>IF(AP49="",0,VLOOKUP(AP49,Dropdown!$U$2:$V$6,2,FALSE))</f>
        <v>0</v>
      </c>
      <c r="AR49" s="20"/>
      <c r="AS49" s="10">
        <f>IF(AR49="",0,VLOOKUP(AR49,Dropdown!$U$2:$V$6,2,FALSE))</f>
        <v>0</v>
      </c>
      <c r="AT49" s="20"/>
      <c r="AU49" s="10">
        <f>IF(AT49="",0,VLOOKUP(AT49,Dropdown!$U$2:$V$6,2,FALSE))</f>
        <v>0</v>
      </c>
      <c r="AV49" s="20"/>
      <c r="AW49" s="10">
        <f>IF(AV49="",0,VLOOKUP(AV49,Dropdown!$U$2:$V$6,2,FALSE))</f>
        <v>0</v>
      </c>
      <c r="AX49" s="20"/>
      <c r="AY49" s="10">
        <f>IF(AX49="",0,VLOOKUP(AX49,Dropdown!$U$2:$V$6,2,FALSE))</f>
        <v>0</v>
      </c>
      <c r="AZ49" s="20"/>
      <c r="BA49" s="10">
        <f>IF(AZ49="",0,VLOOKUP(AZ49,Dropdown!$U$2:$V$6,2,FALSE))</f>
        <v>0</v>
      </c>
      <c r="BB49" s="20"/>
      <c r="BC49" s="10">
        <f>IF(BB49="",0,VLOOKUP(BB49,Dropdown!$U$2:$V$6,2,FALSE))</f>
        <v>0</v>
      </c>
      <c r="BD49" s="20"/>
      <c r="BE49" s="10">
        <f>IF(BD49="",0,VLOOKUP(BD49,Dropdown!$U$2:$V$6,2,FALSE))</f>
        <v>0</v>
      </c>
    </row>
    <row r="50" spans="1:57" ht="14.4" customHeight="1" x14ac:dyDescent="0.3">
      <c r="A50" s="32" t="s">
        <v>73</v>
      </c>
      <c r="B50" s="10">
        <f>VLOOKUP(A50,Vulnerabilty!$B$3:$C$56,2,FALSE)</f>
        <v>0</v>
      </c>
      <c r="C50" s="10"/>
      <c r="D50" s="40"/>
      <c r="E50" s="20" t="s">
        <v>113</v>
      </c>
      <c r="F50" s="10">
        <f>IF(E50=0,0,VLOOKUP(E50,Dropdown!$A$1:$B$7,2,FALSE))</f>
        <v>0</v>
      </c>
      <c r="G50" s="20" t="s">
        <v>114</v>
      </c>
      <c r="H50" s="10">
        <f>IF(G50=0,0,VLOOKUP(G50,Dropdown!$C$2:$D$7,2,FALSE))</f>
        <v>0</v>
      </c>
      <c r="I50" s="20" t="s">
        <v>107</v>
      </c>
      <c r="J50" s="10" t="e">
        <f>IF('Hazard information'!I50=0,0,VLOOKUP(I50,Dropdown!$K$2:$L$7,2,FALSE))</f>
        <v>#N/A</v>
      </c>
      <c r="K50" s="20" t="s">
        <v>107</v>
      </c>
      <c r="L50" s="10" t="e">
        <f>IF(K50=0,0,VLOOKUP(K50,Dropdown!$E$2:$F$7,2,FALSE))</f>
        <v>#N/A</v>
      </c>
      <c r="M50" s="20" t="s">
        <v>108</v>
      </c>
      <c r="N50" s="10">
        <f>IF(M50=0,0,VLOOKUP(M50,Dropdown!$G$2:$H$7,2,FALSE))</f>
        <v>0</v>
      </c>
      <c r="O50" s="20" t="s">
        <v>109</v>
      </c>
      <c r="P50" s="10">
        <f>IF('Hazard information'!O50=0,0,VLOOKUP(O50,Dropdown!$I$1:$J$7,2,FALSE))</f>
        <v>0</v>
      </c>
      <c r="Q50" s="20" t="s">
        <v>110</v>
      </c>
      <c r="R50" s="10">
        <f>IF(Q50=0,0,VLOOKUP(Q50,Dropdown!$M$2:$N$7,2,FALSE))</f>
        <v>0</v>
      </c>
      <c r="S50" s="20" t="s">
        <v>111</v>
      </c>
      <c r="T50" s="10">
        <f>IF(S50=0,0,VLOOKUP(S50,Dropdown!$O$2:$P$7,2,FALSE))</f>
        <v>0</v>
      </c>
      <c r="U50" s="20" t="s">
        <v>108</v>
      </c>
      <c r="V50" s="10">
        <f>IF(U50=0,0,VLOOKUP(U50,Dropdown!$Q$2:$R$7,2,FALSE))</f>
        <v>0</v>
      </c>
      <c r="W50" s="20" t="s">
        <v>112</v>
      </c>
      <c r="X50" s="10">
        <f>IF(W50=0,0,VLOOKUP(W50,Dropdown!$S$2:$T$7,2,FALSE))</f>
        <v>0</v>
      </c>
      <c r="Y50" s="20"/>
      <c r="Z50" s="10">
        <f>IF(Y50=0,0,VLOOKUP(Y50,Dropdown!$U$2:$V$6,2,FALSE))</f>
        <v>0</v>
      </c>
      <c r="AA50" s="20"/>
      <c r="AB50" s="10">
        <f>IF(AA50=0,0,VLOOKUP(AA50,Dropdown!$U$2:$V$6,2,FALSE))</f>
        <v>0</v>
      </c>
      <c r="AC50" s="20"/>
      <c r="AD50" s="10">
        <f>IF(AC50=0,0,VLOOKUP(AC50,Dropdown!$U$2:$V$6,2,FALSE))</f>
        <v>0</v>
      </c>
      <c r="AE50" s="20"/>
      <c r="AF50" s="10">
        <f>IF(AE50=0,0,VLOOKUP(AE50,Dropdown!$U$2:$V$6,2,FALSE))</f>
        <v>0</v>
      </c>
      <c r="AG50" s="20"/>
      <c r="AH50" s="10">
        <f>IF(AG50=0,0,VLOOKUP(AG50,Dropdown!$U$2:$V$6,2,FALSE))</f>
        <v>0</v>
      </c>
      <c r="AI50" s="20"/>
      <c r="AJ50" s="10">
        <f>IF(AI50=0,0,VLOOKUP(AI50,Dropdown!$U$2:$V$6,2,FALSE))</f>
        <v>0</v>
      </c>
      <c r="AK50" s="20"/>
      <c r="AL50" s="10">
        <f>IF(AK50=0,0,VLOOKUP(AK50,Dropdown!$U$2:$V$6,2,FALSE))</f>
        <v>0</v>
      </c>
      <c r="AM50" s="20"/>
      <c r="AN50" s="10">
        <f>IF(AM50=0,0,VLOOKUP(AM50,Dropdown!$U$2:$V$6,2,FALSE))</f>
        <v>0</v>
      </c>
      <c r="AO50" s="20"/>
      <c r="AP50" s="20"/>
      <c r="AQ50" s="10">
        <f>IF(AP50="",0,VLOOKUP(AP50,Dropdown!$U$2:$V$6,2,FALSE))</f>
        <v>0</v>
      </c>
      <c r="AR50" s="20"/>
      <c r="AS50" s="10">
        <f>IF(AR50="",0,VLOOKUP(AR50,Dropdown!$U$2:$V$6,2,FALSE))</f>
        <v>0</v>
      </c>
      <c r="AT50" s="20"/>
      <c r="AU50" s="10">
        <f>IF(AT50="",0,VLOOKUP(AT50,Dropdown!$U$2:$V$6,2,FALSE))</f>
        <v>0</v>
      </c>
      <c r="AV50" s="20"/>
      <c r="AW50" s="10">
        <f>IF(AV50="",0,VLOOKUP(AV50,Dropdown!$U$2:$V$6,2,FALSE))</f>
        <v>0</v>
      </c>
      <c r="AX50" s="20"/>
      <c r="AY50" s="10">
        <f>IF(AX50="",0,VLOOKUP(AX50,Dropdown!$U$2:$V$6,2,FALSE))</f>
        <v>0</v>
      </c>
      <c r="AZ50" s="20"/>
      <c r="BA50" s="10">
        <f>IF(AZ50="",0,VLOOKUP(AZ50,Dropdown!$U$2:$V$6,2,FALSE))</f>
        <v>0</v>
      </c>
      <c r="BB50" s="20"/>
      <c r="BC50" s="10">
        <f>IF(BB50="",0,VLOOKUP(BB50,Dropdown!$U$2:$V$6,2,FALSE))</f>
        <v>0</v>
      </c>
      <c r="BD50" s="20"/>
      <c r="BE50" s="10">
        <f>IF(BD50="",0,VLOOKUP(BD50,Dropdown!$U$2:$V$6,2,FALSE))</f>
        <v>0</v>
      </c>
    </row>
    <row r="51" spans="1:57" ht="14.4" customHeight="1" x14ac:dyDescent="0.3">
      <c r="A51" s="32" t="s">
        <v>74</v>
      </c>
      <c r="B51" s="10">
        <f>VLOOKUP(A51,Vulnerabilty!$B$3:$C$56,2,FALSE)</f>
        <v>0</v>
      </c>
      <c r="C51" s="10"/>
      <c r="D51" s="10"/>
      <c r="E51" s="20" t="s">
        <v>113</v>
      </c>
      <c r="F51" s="10">
        <f>IF(E51=0,0,VLOOKUP(E51,Dropdown!$A$1:$B$7,2,FALSE))</f>
        <v>0</v>
      </c>
      <c r="G51" s="20" t="s">
        <v>114</v>
      </c>
      <c r="H51" s="10">
        <f>IF(G51=0,0,VLOOKUP(G51,Dropdown!$C$2:$D$7,2,FALSE))</f>
        <v>0</v>
      </c>
      <c r="I51" s="20" t="s">
        <v>107</v>
      </c>
      <c r="J51" s="10" t="e">
        <f>IF('Hazard information'!I51=0,0,VLOOKUP(I51,Dropdown!$K$2:$L$7,2,FALSE))</f>
        <v>#N/A</v>
      </c>
      <c r="K51" s="20" t="s">
        <v>107</v>
      </c>
      <c r="L51" s="10" t="e">
        <f>IF(K51=0,0,VLOOKUP(K51,Dropdown!$E$2:$F$7,2,FALSE))</f>
        <v>#N/A</v>
      </c>
      <c r="M51" s="20" t="s">
        <v>108</v>
      </c>
      <c r="N51" s="10">
        <f>IF(M51=0,0,VLOOKUP(M51,Dropdown!$G$2:$H$7,2,FALSE))</f>
        <v>0</v>
      </c>
      <c r="O51" s="20" t="s">
        <v>109</v>
      </c>
      <c r="P51" s="10">
        <f>IF('Hazard information'!O51=0,0,VLOOKUP(O51,Dropdown!$I$1:$J$7,2,FALSE))</f>
        <v>0</v>
      </c>
      <c r="Q51" s="20" t="s">
        <v>110</v>
      </c>
      <c r="R51" s="10">
        <f>IF(Q51=0,0,VLOOKUP(Q51,Dropdown!$M$2:$N$7,2,FALSE))</f>
        <v>0</v>
      </c>
      <c r="S51" s="20" t="s">
        <v>111</v>
      </c>
      <c r="T51" s="10">
        <f>IF(S51=0,0,VLOOKUP(S51,Dropdown!$O$2:$P$7,2,FALSE))</f>
        <v>0</v>
      </c>
      <c r="U51" s="20" t="s">
        <v>108</v>
      </c>
      <c r="V51" s="10">
        <f>IF(U51=0,0,VLOOKUP(U51,Dropdown!$Q$2:$R$7,2,FALSE))</f>
        <v>0</v>
      </c>
      <c r="W51" s="20" t="s">
        <v>112</v>
      </c>
      <c r="X51" s="10">
        <f>IF(W51=0,0,VLOOKUP(W51,Dropdown!$S$2:$T$7,2,FALSE))</f>
        <v>0</v>
      </c>
      <c r="Y51" s="20"/>
      <c r="Z51" s="10">
        <f>IF(Y51=0,0,VLOOKUP(Y51,Dropdown!$U$2:$V$6,2,FALSE))</f>
        <v>0</v>
      </c>
      <c r="AA51" s="20"/>
      <c r="AB51" s="10">
        <f>IF(AA51=0,0,VLOOKUP(AA51,Dropdown!$U$2:$V$6,2,FALSE))</f>
        <v>0</v>
      </c>
      <c r="AC51" s="20"/>
      <c r="AD51" s="10">
        <f>IF(AC51=0,0,VLOOKUP(AC51,Dropdown!$U$2:$V$6,2,FALSE))</f>
        <v>0</v>
      </c>
      <c r="AE51" s="20"/>
      <c r="AF51" s="10">
        <f>IF(AE51=0,0,VLOOKUP(AE51,Dropdown!$U$2:$V$6,2,FALSE))</f>
        <v>0</v>
      </c>
      <c r="AG51" s="20"/>
      <c r="AH51" s="10">
        <f>IF(AG51=0,0,VLOOKUP(AG51,Dropdown!$U$2:$V$6,2,FALSE))</f>
        <v>0</v>
      </c>
      <c r="AI51" s="20"/>
      <c r="AJ51" s="10">
        <f>IF(AI51=0,0,VLOOKUP(AI51,Dropdown!$U$2:$V$6,2,FALSE))</f>
        <v>0</v>
      </c>
      <c r="AK51" s="20"/>
      <c r="AL51" s="10">
        <f>IF(AK51=0,0,VLOOKUP(AK51,Dropdown!$U$2:$V$6,2,FALSE))</f>
        <v>0</v>
      </c>
      <c r="AM51" s="20"/>
      <c r="AN51" s="10">
        <f>IF(AM51=0,0,VLOOKUP(AM51,Dropdown!$U$2:$V$6,2,FALSE))</f>
        <v>0</v>
      </c>
      <c r="AO51" s="20"/>
      <c r="AP51" s="20"/>
      <c r="AQ51" s="10">
        <f>IF(AP51="",0,VLOOKUP(AP51,Dropdown!$U$2:$V$6,2,FALSE))</f>
        <v>0</v>
      </c>
      <c r="AR51" s="20"/>
      <c r="AS51" s="10">
        <f>IF(AR51="",0,VLOOKUP(AR51,Dropdown!$U$2:$V$6,2,FALSE))</f>
        <v>0</v>
      </c>
      <c r="AT51" s="20"/>
      <c r="AU51" s="10">
        <f>IF(AT51="",0,VLOOKUP(AT51,Dropdown!$U$2:$V$6,2,FALSE))</f>
        <v>0</v>
      </c>
      <c r="AV51" s="20"/>
      <c r="AW51" s="10">
        <f>IF(AV51="",0,VLOOKUP(AV51,Dropdown!$U$2:$V$6,2,FALSE))</f>
        <v>0</v>
      </c>
      <c r="AX51" s="20"/>
      <c r="AY51" s="10">
        <f>IF(AX51="",0,VLOOKUP(AX51,Dropdown!$U$2:$V$6,2,FALSE))</f>
        <v>0</v>
      </c>
      <c r="AZ51" s="20"/>
      <c r="BA51" s="10">
        <f>IF(AZ51="",0,VLOOKUP(AZ51,Dropdown!$U$2:$V$6,2,FALSE))</f>
        <v>0</v>
      </c>
      <c r="BB51" s="20"/>
      <c r="BC51" s="10">
        <f>IF(BB51="",0,VLOOKUP(BB51,Dropdown!$U$2:$V$6,2,FALSE))</f>
        <v>0</v>
      </c>
      <c r="BD51" s="20"/>
      <c r="BE51" s="10">
        <f>IF(BD51="",0,VLOOKUP(BD51,Dropdown!$U$2:$V$6,2,FALSE))</f>
        <v>0</v>
      </c>
    </row>
    <row r="52" spans="1:57" ht="14.4" customHeight="1" x14ac:dyDescent="0.3">
      <c r="A52" s="32" t="s">
        <v>75</v>
      </c>
      <c r="B52" s="10">
        <f>VLOOKUP(A52,Vulnerabilty!$B$3:$C$56,2,FALSE)</f>
        <v>0</v>
      </c>
      <c r="C52" s="10"/>
      <c r="D52" s="40"/>
      <c r="E52" s="20" t="s">
        <v>113</v>
      </c>
      <c r="F52" s="10">
        <f>IF(E52=0,0,VLOOKUP(E52,Dropdown!$A$1:$B$7,2,FALSE))</f>
        <v>0</v>
      </c>
      <c r="G52" s="20" t="s">
        <v>114</v>
      </c>
      <c r="H52" s="10">
        <f>IF(G52=0,0,VLOOKUP(G52,Dropdown!$C$2:$D$7,2,FALSE))</f>
        <v>0</v>
      </c>
      <c r="I52" s="20" t="s">
        <v>107</v>
      </c>
      <c r="J52" s="10" t="e">
        <f>IF('Hazard information'!I52=0,0,VLOOKUP(I52,Dropdown!$K$2:$L$7,2,FALSE))</f>
        <v>#N/A</v>
      </c>
      <c r="K52" s="20" t="s">
        <v>107</v>
      </c>
      <c r="L52" s="10" t="e">
        <f>IF(K52=0,0,VLOOKUP(K52,Dropdown!$E$2:$F$7,2,FALSE))</f>
        <v>#N/A</v>
      </c>
      <c r="M52" s="20" t="s">
        <v>108</v>
      </c>
      <c r="N52" s="10">
        <f>IF(M52=0,0,VLOOKUP(M52,Dropdown!$G$2:$H$7,2,FALSE))</f>
        <v>0</v>
      </c>
      <c r="O52" s="20" t="s">
        <v>109</v>
      </c>
      <c r="P52" s="10">
        <f>IF('Hazard information'!O52=0,0,VLOOKUP(O52,Dropdown!$I$1:$J$7,2,FALSE))</f>
        <v>0</v>
      </c>
      <c r="Q52" s="20" t="s">
        <v>110</v>
      </c>
      <c r="R52" s="10">
        <f>IF(Q52=0,0,VLOOKUP(Q52,Dropdown!$M$2:$N$7,2,FALSE))</f>
        <v>0</v>
      </c>
      <c r="S52" s="20" t="s">
        <v>111</v>
      </c>
      <c r="T52" s="10">
        <f>IF(S52=0,0,VLOOKUP(S52,Dropdown!$O$2:$P$7,2,FALSE))</f>
        <v>0</v>
      </c>
      <c r="U52" s="20" t="s">
        <v>108</v>
      </c>
      <c r="V52" s="10">
        <f>IF(U52=0,0,VLOOKUP(U52,Dropdown!$Q$2:$R$7,2,FALSE))</f>
        <v>0</v>
      </c>
      <c r="W52" s="20" t="s">
        <v>112</v>
      </c>
      <c r="X52" s="10">
        <f>IF(W52=0,0,VLOOKUP(W52,Dropdown!$S$2:$T$7,2,FALSE))</f>
        <v>0</v>
      </c>
      <c r="Y52" s="20"/>
      <c r="Z52" s="10">
        <f>IF(Y52=0,0,VLOOKUP(Y52,Dropdown!$U$2:$V$6,2,FALSE))</f>
        <v>0</v>
      </c>
      <c r="AA52" s="20"/>
      <c r="AB52" s="10">
        <f>IF(AA52=0,0,VLOOKUP(AA52,Dropdown!$U$2:$V$6,2,FALSE))</f>
        <v>0</v>
      </c>
      <c r="AC52" s="20"/>
      <c r="AD52" s="10">
        <f>IF(AC52=0,0,VLOOKUP(AC52,Dropdown!$U$2:$V$6,2,FALSE))</f>
        <v>0</v>
      </c>
      <c r="AE52" s="20"/>
      <c r="AF52" s="10">
        <f>IF(AE52=0,0,VLOOKUP(AE52,Dropdown!$U$2:$V$6,2,FALSE))</f>
        <v>0</v>
      </c>
      <c r="AG52" s="20"/>
      <c r="AH52" s="10">
        <f>IF(AG52=0,0,VLOOKUP(AG52,Dropdown!$U$2:$V$6,2,FALSE))</f>
        <v>0</v>
      </c>
      <c r="AI52" s="20"/>
      <c r="AJ52" s="10">
        <f>IF(AI52=0,0,VLOOKUP(AI52,Dropdown!$U$2:$V$6,2,FALSE))</f>
        <v>0</v>
      </c>
      <c r="AK52" s="20"/>
      <c r="AL52" s="10">
        <f>IF(AK52=0,0,VLOOKUP(AK52,Dropdown!$U$2:$V$6,2,FALSE))</f>
        <v>0</v>
      </c>
      <c r="AM52" s="20"/>
      <c r="AN52" s="10">
        <f>IF(AM52=0,0,VLOOKUP(AM52,Dropdown!$U$2:$V$6,2,FALSE))</f>
        <v>0</v>
      </c>
      <c r="AO52" s="20"/>
      <c r="AP52" s="20"/>
      <c r="AQ52" s="10">
        <f>IF(AP52="",0,VLOOKUP(AP52,Dropdown!$U$2:$V$6,2,FALSE))</f>
        <v>0</v>
      </c>
      <c r="AR52" s="20"/>
      <c r="AS52" s="10">
        <f>IF(AR52="",0,VLOOKUP(AR52,Dropdown!$U$2:$V$6,2,FALSE))</f>
        <v>0</v>
      </c>
      <c r="AT52" s="20"/>
      <c r="AU52" s="10">
        <f>IF(AT52="",0,VLOOKUP(AT52,Dropdown!$U$2:$V$6,2,FALSE))</f>
        <v>0</v>
      </c>
      <c r="AV52" s="20"/>
      <c r="AW52" s="10">
        <f>IF(AV52="",0,VLOOKUP(AV52,Dropdown!$U$2:$V$6,2,FALSE))</f>
        <v>0</v>
      </c>
      <c r="AX52" s="20"/>
      <c r="AY52" s="10">
        <f>IF(AX52="",0,VLOOKUP(AX52,Dropdown!$U$2:$V$6,2,FALSE))</f>
        <v>0</v>
      </c>
      <c r="AZ52" s="20"/>
      <c r="BA52" s="10">
        <f>IF(AZ52="",0,VLOOKUP(AZ52,Dropdown!$U$2:$V$6,2,FALSE))</f>
        <v>0</v>
      </c>
      <c r="BB52" s="20"/>
      <c r="BC52" s="10">
        <f>IF(BB52="",0,VLOOKUP(BB52,Dropdown!$U$2:$V$6,2,FALSE))</f>
        <v>0</v>
      </c>
      <c r="BD52" s="20"/>
      <c r="BE52" s="10">
        <f>IF(BD52="",0,VLOOKUP(BD52,Dropdown!$U$2:$V$6,2,FALSE))</f>
        <v>0</v>
      </c>
    </row>
    <row r="53" spans="1:57" ht="14.4" customHeight="1" x14ac:dyDescent="0.3">
      <c r="A53" s="32" t="s">
        <v>76</v>
      </c>
      <c r="B53" s="10" t="str">
        <f>VLOOKUP(A53,Vulnerabilty!$B$3:$C$56,2,FALSE)</f>
        <v>High Vulnerability</v>
      </c>
      <c r="C53" s="10"/>
      <c r="D53" s="10"/>
      <c r="E53" s="20" t="s">
        <v>113</v>
      </c>
      <c r="F53" s="10">
        <f>IF(E53=0,0,VLOOKUP(E53,Dropdown!$A$1:$B$7,2,FALSE))</f>
        <v>0</v>
      </c>
      <c r="G53" s="20" t="s">
        <v>114</v>
      </c>
      <c r="H53" s="10">
        <f>IF(G53=0,0,VLOOKUP(G53,Dropdown!$C$2:$D$7,2,FALSE))</f>
        <v>0</v>
      </c>
      <c r="I53" s="20" t="s">
        <v>107</v>
      </c>
      <c r="J53" s="10" t="e">
        <f>IF('Hazard information'!I53=0,0,VLOOKUP(I53,Dropdown!$K$2:$L$7,2,FALSE))</f>
        <v>#N/A</v>
      </c>
      <c r="K53" s="20" t="s">
        <v>107</v>
      </c>
      <c r="L53" s="10" t="e">
        <f>IF(K53=0,0,VLOOKUP(K53,Dropdown!$E$2:$F$7,2,FALSE))</f>
        <v>#N/A</v>
      </c>
      <c r="M53" s="20" t="s">
        <v>108</v>
      </c>
      <c r="N53" s="10">
        <f>IF(M53=0,0,VLOOKUP(M53,Dropdown!$G$2:$H$7,2,FALSE))</f>
        <v>0</v>
      </c>
      <c r="O53" s="20" t="s">
        <v>109</v>
      </c>
      <c r="P53" s="10">
        <f>IF('Hazard information'!O53=0,0,VLOOKUP(O53,Dropdown!$I$1:$J$7,2,FALSE))</f>
        <v>0</v>
      </c>
      <c r="Q53" s="20" t="s">
        <v>110</v>
      </c>
      <c r="R53" s="10">
        <f>IF(Q53=0,0,VLOOKUP(Q53,Dropdown!$M$2:$N$7,2,FALSE))</f>
        <v>0</v>
      </c>
      <c r="S53" s="20" t="s">
        <v>111</v>
      </c>
      <c r="T53" s="10">
        <f>IF(S53=0,0,VLOOKUP(S53,Dropdown!$O$2:$P$7,2,FALSE))</f>
        <v>0</v>
      </c>
      <c r="U53" s="20" t="s">
        <v>108</v>
      </c>
      <c r="V53" s="10">
        <f>IF(U53=0,0,VLOOKUP(U53,Dropdown!$Q$2:$R$7,2,FALSE))</f>
        <v>0</v>
      </c>
      <c r="W53" s="20" t="s">
        <v>112</v>
      </c>
      <c r="X53" s="10">
        <f>IF(W53=0,0,VLOOKUP(W53,Dropdown!$S$2:$T$7,2,FALSE))</f>
        <v>0</v>
      </c>
      <c r="Y53" s="20"/>
      <c r="Z53" s="10">
        <f>IF(Y53=0,0,VLOOKUP(Y53,Dropdown!$U$2:$V$6,2,FALSE))</f>
        <v>0</v>
      </c>
      <c r="AA53" s="20"/>
      <c r="AB53" s="10">
        <f>IF(AA53=0,0,VLOOKUP(AA53,Dropdown!$U$2:$V$6,2,FALSE))</f>
        <v>0</v>
      </c>
      <c r="AC53" s="20"/>
      <c r="AD53" s="10">
        <f>IF(AC53=0,0,VLOOKUP(AC53,Dropdown!$U$2:$V$6,2,FALSE))</f>
        <v>0</v>
      </c>
      <c r="AE53" s="20"/>
      <c r="AF53" s="10">
        <f>IF(AE53=0,0,VLOOKUP(AE53,Dropdown!$U$2:$V$6,2,FALSE))</f>
        <v>0</v>
      </c>
      <c r="AG53" s="20"/>
      <c r="AH53" s="10">
        <f>IF(AG53=0,0,VLOOKUP(AG53,Dropdown!$U$2:$V$6,2,FALSE))</f>
        <v>0</v>
      </c>
      <c r="AI53" s="20"/>
      <c r="AJ53" s="10">
        <f>IF(AI53=0,0,VLOOKUP(AI53,Dropdown!$U$2:$V$6,2,FALSE))</f>
        <v>0</v>
      </c>
      <c r="AK53" s="20"/>
      <c r="AL53" s="10">
        <f>IF(AK53=0,0,VLOOKUP(AK53,Dropdown!$U$2:$V$6,2,FALSE))</f>
        <v>0</v>
      </c>
      <c r="AM53" s="20"/>
      <c r="AN53" s="10">
        <f>IF(AM53=0,0,VLOOKUP(AM53,Dropdown!$U$2:$V$6,2,FALSE))</f>
        <v>0</v>
      </c>
      <c r="AO53" s="20"/>
      <c r="AP53" s="20"/>
      <c r="AQ53" s="10">
        <f>IF(AP53="",0,VLOOKUP(AP53,Dropdown!$U$2:$V$6,2,FALSE))</f>
        <v>0</v>
      </c>
      <c r="AR53" s="20"/>
      <c r="AS53" s="10">
        <f>IF(AR53="",0,VLOOKUP(AR53,Dropdown!$U$2:$V$6,2,FALSE))</f>
        <v>0</v>
      </c>
      <c r="AT53" s="20"/>
      <c r="AU53" s="10">
        <f>IF(AT53="",0,VLOOKUP(AT53,Dropdown!$U$2:$V$6,2,FALSE))</f>
        <v>0</v>
      </c>
      <c r="AV53" s="20"/>
      <c r="AW53" s="10">
        <f>IF(AV53="",0,VLOOKUP(AV53,Dropdown!$U$2:$V$6,2,FALSE))</f>
        <v>0</v>
      </c>
      <c r="AX53" s="20"/>
      <c r="AY53" s="10">
        <f>IF(AX53="",0,VLOOKUP(AX53,Dropdown!$U$2:$V$6,2,FALSE))</f>
        <v>0</v>
      </c>
      <c r="AZ53" s="20"/>
      <c r="BA53" s="10">
        <f>IF(AZ53="",0,VLOOKUP(AZ53,Dropdown!$U$2:$V$6,2,FALSE))</f>
        <v>0</v>
      </c>
      <c r="BB53" s="20"/>
      <c r="BC53" s="10">
        <f>IF(BB53="",0,VLOOKUP(BB53,Dropdown!$U$2:$V$6,2,FALSE))</f>
        <v>0</v>
      </c>
      <c r="BD53" s="20"/>
      <c r="BE53" s="10">
        <f>IF(BD53="",0,VLOOKUP(BD53,Dropdown!$U$2:$V$6,2,FALSE))</f>
        <v>0</v>
      </c>
    </row>
    <row r="54" spans="1:57" ht="14.4" customHeight="1" x14ac:dyDescent="0.3">
      <c r="A54" s="32" t="s">
        <v>77</v>
      </c>
      <c r="B54" s="10" t="str">
        <f>VLOOKUP(A54,Vulnerabilty!$B$3:$C$56,2,FALSE)</f>
        <v>Not Applicable</v>
      </c>
      <c r="C54" s="10"/>
      <c r="D54" s="10"/>
      <c r="E54" s="20" t="s">
        <v>113</v>
      </c>
      <c r="F54" s="10">
        <f>IF(E54=0,0,VLOOKUP(E54,Dropdown!$A$1:$B$7,2,FALSE))</f>
        <v>0</v>
      </c>
      <c r="G54" s="20" t="s">
        <v>114</v>
      </c>
      <c r="H54" s="10">
        <f>IF(G54=0,0,VLOOKUP(G54,Dropdown!$C$2:$D$7,2,FALSE))</f>
        <v>0</v>
      </c>
      <c r="I54" s="20" t="s">
        <v>107</v>
      </c>
      <c r="J54" s="10" t="e">
        <f>IF('Hazard information'!I54=0,0,VLOOKUP(I54,Dropdown!$K$2:$L$7,2,FALSE))</f>
        <v>#N/A</v>
      </c>
      <c r="K54" s="20" t="s">
        <v>107</v>
      </c>
      <c r="L54" s="10" t="e">
        <f>IF(K54=0,0,VLOOKUP(K54,Dropdown!$E$2:$F$7,2,FALSE))</f>
        <v>#N/A</v>
      </c>
      <c r="M54" s="20" t="s">
        <v>108</v>
      </c>
      <c r="N54" s="10">
        <f>IF(M54=0,0,VLOOKUP(M54,Dropdown!$G$2:$H$7,2,FALSE))</f>
        <v>0</v>
      </c>
      <c r="O54" s="20" t="s">
        <v>109</v>
      </c>
      <c r="P54" s="10">
        <f>IF('Hazard information'!O54=0,0,VLOOKUP(O54,Dropdown!$I$1:$J$7,2,FALSE))</f>
        <v>0</v>
      </c>
      <c r="Q54" s="20" t="s">
        <v>110</v>
      </c>
      <c r="R54" s="10">
        <f>IF(Q54=0,0,VLOOKUP(Q54,Dropdown!$M$2:$N$7,2,FALSE))</f>
        <v>0</v>
      </c>
      <c r="S54" s="20" t="s">
        <v>111</v>
      </c>
      <c r="T54" s="10">
        <f>IF(S54=0,0,VLOOKUP(S54,Dropdown!$O$2:$P$7,2,FALSE))</f>
        <v>0</v>
      </c>
      <c r="U54" s="20" t="s">
        <v>108</v>
      </c>
      <c r="V54" s="10">
        <f>IF(U54=0,0,VLOOKUP(U54,Dropdown!$Q$2:$R$7,2,FALSE))</f>
        <v>0</v>
      </c>
      <c r="W54" s="20" t="s">
        <v>112</v>
      </c>
      <c r="X54" s="10">
        <f>IF(W54=0,0,VLOOKUP(W54,Dropdown!$S$2:$T$7,2,FALSE))</f>
        <v>0</v>
      </c>
      <c r="Y54" s="20"/>
      <c r="Z54" s="10">
        <f>IF(Y54=0,0,VLOOKUP(Y54,Dropdown!$U$2:$V$6,2,FALSE))</f>
        <v>0</v>
      </c>
      <c r="AA54" s="20"/>
      <c r="AB54" s="10">
        <f>IF(AA54=0,0,VLOOKUP(AA54,Dropdown!$U$2:$V$6,2,FALSE))</f>
        <v>0</v>
      </c>
      <c r="AC54" s="20"/>
      <c r="AD54" s="10">
        <f>IF(AC54=0,0,VLOOKUP(AC54,Dropdown!$U$2:$V$6,2,FALSE))</f>
        <v>0</v>
      </c>
      <c r="AE54" s="20"/>
      <c r="AF54" s="10">
        <f>IF(AE54=0,0,VLOOKUP(AE54,Dropdown!$U$2:$V$6,2,FALSE))</f>
        <v>0</v>
      </c>
      <c r="AG54" s="20"/>
      <c r="AH54" s="10">
        <f>IF(AG54=0,0,VLOOKUP(AG54,Dropdown!$U$2:$V$6,2,FALSE))</f>
        <v>0</v>
      </c>
      <c r="AI54" s="20"/>
      <c r="AJ54" s="10">
        <f>IF(AI54=0,0,VLOOKUP(AI54,Dropdown!$U$2:$V$6,2,FALSE))</f>
        <v>0</v>
      </c>
      <c r="AK54" s="20"/>
      <c r="AL54" s="10">
        <f>IF(AK54=0,0,VLOOKUP(AK54,Dropdown!$U$2:$V$6,2,FALSE))</f>
        <v>0</v>
      </c>
      <c r="AM54" s="20"/>
      <c r="AN54" s="10">
        <f>IF(AM54=0,0,VLOOKUP(AM54,Dropdown!$U$2:$V$6,2,FALSE))</f>
        <v>0</v>
      </c>
      <c r="AO54" s="20"/>
      <c r="AP54" s="20"/>
      <c r="AQ54" s="10">
        <f>IF(AP54="",0,VLOOKUP(AP54,Dropdown!$U$2:$V$6,2,FALSE))</f>
        <v>0</v>
      </c>
      <c r="AR54" s="20"/>
      <c r="AS54" s="10">
        <f>IF(AR54="",0,VLOOKUP(AR54,Dropdown!$U$2:$V$6,2,FALSE))</f>
        <v>0</v>
      </c>
      <c r="AT54" s="20"/>
      <c r="AU54" s="10">
        <f>IF(AT54="",0,VLOOKUP(AT54,Dropdown!$U$2:$V$6,2,FALSE))</f>
        <v>0</v>
      </c>
      <c r="AV54" s="20"/>
      <c r="AW54" s="10">
        <f>IF(AV54="",0,VLOOKUP(AV54,Dropdown!$U$2:$V$6,2,FALSE))</f>
        <v>0</v>
      </c>
      <c r="AX54" s="20"/>
      <c r="AY54" s="10">
        <f>IF(AX54="",0,VLOOKUP(AX54,Dropdown!$U$2:$V$6,2,FALSE))</f>
        <v>0</v>
      </c>
      <c r="AZ54" s="20"/>
      <c r="BA54" s="10">
        <f>IF(AZ54="",0,VLOOKUP(AZ54,Dropdown!$U$2:$V$6,2,FALSE))</f>
        <v>0</v>
      </c>
      <c r="BB54" s="20"/>
      <c r="BC54" s="10">
        <f>IF(BB54="",0,VLOOKUP(BB54,Dropdown!$U$2:$V$6,2,FALSE))</f>
        <v>0</v>
      </c>
      <c r="BD54" s="20"/>
      <c r="BE54" s="10">
        <f>IF(BD54="",0,VLOOKUP(BD54,Dropdown!$U$2:$V$6,2,FALSE))</f>
        <v>0</v>
      </c>
    </row>
    <row r="55" spans="1:57" ht="14.4" customHeight="1" x14ac:dyDescent="0.3">
      <c r="A55" s="32" t="s">
        <v>78</v>
      </c>
      <c r="B55" s="10" t="str">
        <f>VLOOKUP(A55,Vulnerabilty!$B$3:$C$56,2,FALSE)</f>
        <v>Applicable</v>
      </c>
      <c r="C55" s="10"/>
      <c r="D55" s="10"/>
      <c r="E55" s="20" t="s">
        <v>113</v>
      </c>
      <c r="F55" s="10">
        <f>IF(E55=0,0,VLOOKUP(E55,Dropdown!$A$1:$B$7,2,FALSE))</f>
        <v>0</v>
      </c>
      <c r="G55" s="20" t="s">
        <v>114</v>
      </c>
      <c r="H55" s="10">
        <f>IF(G55=0,0,VLOOKUP(G55,Dropdown!$C$2:$D$7,2,FALSE))</f>
        <v>0</v>
      </c>
      <c r="I55" s="20" t="s">
        <v>107</v>
      </c>
      <c r="J55" s="10" t="e">
        <f>IF('Hazard information'!I55=0,0,VLOOKUP(I55,Dropdown!$K$2:$L$7,2,FALSE))</f>
        <v>#N/A</v>
      </c>
      <c r="K55" s="20" t="s">
        <v>107</v>
      </c>
      <c r="L55" s="10" t="e">
        <f>IF(K55=0,0,VLOOKUP(K55,Dropdown!$E$2:$F$7,2,FALSE))</f>
        <v>#N/A</v>
      </c>
      <c r="M55" s="20" t="s">
        <v>108</v>
      </c>
      <c r="N55" s="10">
        <f>IF(M55=0,0,VLOOKUP(M55,Dropdown!$G$2:$H$7,2,FALSE))</f>
        <v>0</v>
      </c>
      <c r="O55" s="20" t="s">
        <v>109</v>
      </c>
      <c r="P55" s="10">
        <f>IF('Hazard information'!O55=0,0,VLOOKUP(O55,Dropdown!$I$1:$J$7,2,FALSE))</f>
        <v>0</v>
      </c>
      <c r="Q55" s="20" t="s">
        <v>110</v>
      </c>
      <c r="R55" s="10">
        <f>IF(Q55=0,0,VLOOKUP(Q55,Dropdown!$M$2:$N$7,2,FALSE))</f>
        <v>0</v>
      </c>
      <c r="S55" s="20" t="s">
        <v>111</v>
      </c>
      <c r="T55" s="10">
        <f>IF(S55=0,0,VLOOKUP(S55,Dropdown!$O$2:$P$7,2,FALSE))</f>
        <v>0</v>
      </c>
      <c r="U55" s="20" t="s">
        <v>108</v>
      </c>
      <c r="V55" s="10">
        <f>IF(U55=0,0,VLOOKUP(U55,Dropdown!$Q$2:$R$7,2,FALSE))</f>
        <v>0</v>
      </c>
      <c r="W55" s="20" t="s">
        <v>112</v>
      </c>
      <c r="X55" s="10">
        <f>IF(W55=0,0,VLOOKUP(W55,Dropdown!$S$2:$T$7,2,FALSE))</f>
        <v>0</v>
      </c>
      <c r="Y55" s="20"/>
      <c r="Z55" s="10">
        <f>IF(Y55=0,0,VLOOKUP(Y55,Dropdown!$U$2:$V$6,2,FALSE))</f>
        <v>0</v>
      </c>
      <c r="AA55" s="20"/>
      <c r="AB55" s="10">
        <f>IF(AA55=0,0,VLOOKUP(AA55,Dropdown!$U$2:$V$6,2,FALSE))</f>
        <v>0</v>
      </c>
      <c r="AC55" s="20"/>
      <c r="AD55" s="10">
        <f>IF(AC55=0,0,VLOOKUP(AC55,Dropdown!$U$2:$V$6,2,FALSE))</f>
        <v>0</v>
      </c>
      <c r="AE55" s="20"/>
      <c r="AF55" s="10">
        <f>IF(AE55=0,0,VLOOKUP(AE55,Dropdown!$U$2:$V$6,2,FALSE))</f>
        <v>0</v>
      </c>
      <c r="AG55" s="20"/>
      <c r="AH55" s="10">
        <f>IF(AG55=0,0,VLOOKUP(AG55,Dropdown!$U$2:$V$6,2,FALSE))</f>
        <v>0</v>
      </c>
      <c r="AI55" s="20"/>
      <c r="AJ55" s="10">
        <f>IF(AI55=0,0,VLOOKUP(AI55,Dropdown!$U$2:$V$6,2,FALSE))</f>
        <v>0</v>
      </c>
      <c r="AK55" s="20"/>
      <c r="AL55" s="10">
        <f>IF(AK55=0,0,VLOOKUP(AK55,Dropdown!$U$2:$V$6,2,FALSE))</f>
        <v>0</v>
      </c>
      <c r="AM55" s="20"/>
      <c r="AN55" s="10">
        <f>IF(AM55=0,0,VLOOKUP(AM55,Dropdown!$U$2:$V$6,2,FALSE))</f>
        <v>0</v>
      </c>
      <c r="AO55" s="20"/>
      <c r="AP55" s="20"/>
      <c r="AQ55" s="10">
        <f>IF(AP55="",0,VLOOKUP(AP55,Dropdown!$U$2:$V$6,2,FALSE))</f>
        <v>0</v>
      </c>
      <c r="AR55" s="20"/>
      <c r="AS55" s="10">
        <f>IF(AR55="",0,VLOOKUP(AR55,Dropdown!$U$2:$V$6,2,FALSE))</f>
        <v>0</v>
      </c>
      <c r="AT55" s="20"/>
      <c r="AU55" s="10">
        <f>IF(AT55="",0,VLOOKUP(AT55,Dropdown!$U$2:$V$6,2,FALSE))</f>
        <v>0</v>
      </c>
      <c r="AV55" s="20"/>
      <c r="AW55" s="10">
        <f>IF(AV55="",0,VLOOKUP(AV55,Dropdown!$U$2:$V$6,2,FALSE))</f>
        <v>0</v>
      </c>
      <c r="AX55" s="20"/>
      <c r="AY55" s="10">
        <f>IF(AX55="",0,VLOOKUP(AX55,Dropdown!$U$2:$V$6,2,FALSE))</f>
        <v>0</v>
      </c>
      <c r="AZ55" s="20"/>
      <c r="BA55" s="10">
        <f>IF(AZ55="",0,VLOOKUP(AZ55,Dropdown!$U$2:$V$6,2,FALSE))</f>
        <v>0</v>
      </c>
      <c r="BB55" s="20"/>
      <c r="BC55" s="10">
        <f>IF(BB55="",0,VLOOKUP(BB55,Dropdown!$U$2:$V$6,2,FALSE))</f>
        <v>0</v>
      </c>
      <c r="BD55" s="20"/>
      <c r="BE55" s="10">
        <f>IF(BD55="",0,VLOOKUP(BD55,Dropdown!$U$2:$V$6,2,FALSE))</f>
        <v>0</v>
      </c>
    </row>
    <row r="56" spans="1:57" x14ac:dyDescent="0.3">
      <c r="A56" s="32" t="s">
        <v>79</v>
      </c>
      <c r="B56" s="10">
        <f>VLOOKUP(A56,Vulnerabilty!$B$3:$C$56,2,FALSE)</f>
        <v>0</v>
      </c>
      <c r="C56" s="10"/>
      <c r="D56" s="40"/>
      <c r="E56" s="20" t="s">
        <v>113</v>
      </c>
      <c r="F56" s="10">
        <f>IF(E56=0,0,VLOOKUP(E56,Dropdown!$A$1:$B$7,2,FALSE))</f>
        <v>0</v>
      </c>
      <c r="G56" s="20" t="s">
        <v>114</v>
      </c>
      <c r="H56" s="10">
        <f>IF(G56=0,0,VLOOKUP(G56,Dropdown!$C$2:$D$7,2,FALSE))</f>
        <v>0</v>
      </c>
      <c r="I56" s="20" t="s">
        <v>107</v>
      </c>
      <c r="J56" s="10" t="e">
        <f>IF('Hazard information'!I56=0,0,VLOOKUP(I56,Dropdown!$K$2:$L$7,2,FALSE))</f>
        <v>#N/A</v>
      </c>
      <c r="K56" s="20" t="s">
        <v>107</v>
      </c>
      <c r="L56" s="10" t="e">
        <f>IF(K56=0,0,VLOOKUP(K56,Dropdown!$E$2:$F$7,2,FALSE))</f>
        <v>#N/A</v>
      </c>
      <c r="M56" s="20" t="s">
        <v>108</v>
      </c>
      <c r="N56" s="10">
        <f>IF(M56=0,0,VLOOKUP(M56,Dropdown!$G$2:$H$7,2,FALSE))</f>
        <v>0</v>
      </c>
      <c r="O56" s="20" t="s">
        <v>109</v>
      </c>
      <c r="P56" s="10">
        <f>IF('Hazard information'!O56=0,0,VLOOKUP(O56,Dropdown!$I$1:$J$7,2,FALSE))</f>
        <v>0</v>
      </c>
      <c r="Q56" s="20" t="s">
        <v>110</v>
      </c>
      <c r="R56" s="10">
        <f>IF(Q56=0,0,VLOOKUP(Q56,Dropdown!$M$2:$N$7,2,FALSE))</f>
        <v>0</v>
      </c>
      <c r="S56" s="20" t="s">
        <v>111</v>
      </c>
      <c r="T56" s="10">
        <f>IF(S56=0,0,VLOOKUP(S56,Dropdown!$O$2:$P$7,2,FALSE))</f>
        <v>0</v>
      </c>
      <c r="U56" s="20" t="s">
        <v>108</v>
      </c>
      <c r="V56" s="10">
        <f>IF(U56=0,0,VLOOKUP(U56,Dropdown!$Q$2:$R$7,2,FALSE))</f>
        <v>0</v>
      </c>
      <c r="W56" s="20" t="s">
        <v>112</v>
      </c>
      <c r="X56" s="10">
        <f>IF(W56=0,0,VLOOKUP(W56,Dropdown!$S$2:$T$7,2,FALSE))</f>
        <v>0</v>
      </c>
      <c r="Y56" s="20"/>
      <c r="Z56" s="10">
        <f>IF(Y56=0,0,VLOOKUP(Y56,Dropdown!$U$2:$V$6,2,FALSE))</f>
        <v>0</v>
      </c>
      <c r="AA56" s="20"/>
      <c r="AB56" s="10">
        <f>IF(AA56=0,0,VLOOKUP(AA56,Dropdown!$U$2:$V$6,2,FALSE))</f>
        <v>0</v>
      </c>
      <c r="AC56" s="20"/>
      <c r="AD56" s="10">
        <f>IF(AC56=0,0,VLOOKUP(AC56,Dropdown!$U$2:$V$6,2,FALSE))</f>
        <v>0</v>
      </c>
      <c r="AE56" s="20"/>
      <c r="AF56" s="10">
        <f>IF(AE56=0,0,VLOOKUP(AE56,Dropdown!$U$2:$V$6,2,FALSE))</f>
        <v>0</v>
      </c>
      <c r="AG56" s="20"/>
      <c r="AH56" s="10">
        <f>IF(AG56=0,0,VLOOKUP(AG56,Dropdown!$U$2:$V$6,2,FALSE))</f>
        <v>0</v>
      </c>
      <c r="AI56" s="20"/>
      <c r="AJ56" s="10">
        <f>IF(AI56=0,0,VLOOKUP(AI56,Dropdown!$U$2:$V$6,2,FALSE))</f>
        <v>0</v>
      </c>
      <c r="AK56" s="20"/>
      <c r="AL56" s="10">
        <f>IF(AK56=0,0,VLOOKUP(AK56,Dropdown!$U$2:$V$6,2,FALSE))</f>
        <v>0</v>
      </c>
      <c r="AM56" s="20"/>
      <c r="AN56" s="10">
        <f>IF(AM56=0,0,VLOOKUP(AM56,Dropdown!$U$2:$V$6,2,FALSE))</f>
        <v>0</v>
      </c>
      <c r="AO56" s="20"/>
      <c r="AP56" s="20"/>
      <c r="AQ56" s="10">
        <f>IF(AP56="",0,VLOOKUP(AP56,Dropdown!$U$2:$V$6,2,FALSE))</f>
        <v>0</v>
      </c>
      <c r="AR56" s="20"/>
      <c r="AS56" s="10">
        <f>IF(AR56="",0,VLOOKUP(AR56,Dropdown!$U$2:$V$6,2,FALSE))</f>
        <v>0</v>
      </c>
      <c r="AT56" s="20"/>
      <c r="AU56" s="10">
        <f>IF(AT56="",0,VLOOKUP(AT56,Dropdown!$U$2:$V$6,2,FALSE))</f>
        <v>0</v>
      </c>
      <c r="AV56" s="20"/>
      <c r="AW56" s="10">
        <f>IF(AV56="",0,VLOOKUP(AV56,Dropdown!$U$2:$V$6,2,FALSE))</f>
        <v>0</v>
      </c>
      <c r="AX56" s="20"/>
      <c r="AY56" s="10">
        <f>IF(AX56="",0,VLOOKUP(AX56,Dropdown!$U$2:$V$6,2,FALSE))</f>
        <v>0</v>
      </c>
      <c r="AZ56" s="20"/>
      <c r="BA56" s="10">
        <f>IF(AZ56="",0,VLOOKUP(AZ56,Dropdown!$U$2:$V$6,2,FALSE))</f>
        <v>0</v>
      </c>
      <c r="BB56" s="20"/>
      <c r="BC56" s="10">
        <f>IF(BB56="",0,VLOOKUP(BB56,Dropdown!$U$2:$V$6,2,FALSE))</f>
        <v>0</v>
      </c>
      <c r="BD56" s="20"/>
      <c r="BE56" s="10">
        <f>IF(BD56="",0,VLOOKUP(BD56,Dropdown!$U$2:$V$6,2,FALSE))</f>
        <v>0</v>
      </c>
    </row>
  </sheetData>
  <sheetProtection selectLockedCells="1" sort="0" autoFilter="0"/>
  <autoFilter ref="A2:BE56" xr:uid="{458C66BC-C61A-4034-94F7-CF7BDD3C347B}">
    <sortState xmlns:xlrd2="http://schemas.microsoft.com/office/spreadsheetml/2017/richdata2" ref="A3:BE56">
      <sortCondition ref="A2:A56"/>
    </sortState>
  </autoFilter>
  <sortState xmlns:xlrd2="http://schemas.microsoft.com/office/spreadsheetml/2017/richdata2" ref="A1:A54">
    <sortCondition ref="A1"/>
  </sortState>
  <phoneticPr fontId="9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1C188D4F-387A-40E5-96AB-C96CE9A19DA5}">
            <xm:f>Dropdown!$AB$3</xm:f>
            <x14:dxf>
              <fill>
                <patternFill>
                  <bgColor rgb="FF92D050"/>
                </patternFill>
              </fill>
            </x14:dxf>
          </x14:cfRule>
          <x14:cfRule type="cellIs" priority="2" operator="equal" id="{39F03C74-ED88-4ADC-BE39-578DDE69B261}">
            <xm:f>Dropdown!$AB$4</xm:f>
            <x14:dxf>
              <fill>
                <patternFill>
                  <bgColor rgb="FFFF0000"/>
                </patternFill>
              </fill>
            </x14:dxf>
          </x14:cfRule>
          <x14:cfRule type="cellIs" priority="3" operator="equal" id="{76C75FE3-F4C5-40FB-9BE8-D2B276422440}">
            <xm:f>Dropdown!$AB$2</xm:f>
            <x14:dxf>
              <fill>
                <patternFill patternType="lightUp">
                  <bgColor theme="0" tint="-0.499984740745262"/>
                </patternFill>
              </fill>
            </x14:dxf>
          </x14:cfRule>
          <xm:sqref>B3:D56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0000000-0002-0000-0100-000001000000}">
          <x14:formula1>
            <xm:f>Dropdown!$C$2:$C$7</xm:f>
          </x14:formula1>
          <xm:sqref>G3:G56</xm:sqref>
        </x14:dataValidation>
        <x14:dataValidation type="list" allowBlank="1" showInputMessage="1" showErrorMessage="1" xr:uid="{00000000-0002-0000-0100-000002000000}">
          <x14:formula1>
            <xm:f>Dropdown!$E$2:$E$7</xm:f>
          </x14:formula1>
          <xm:sqref>K3:K56</xm:sqref>
        </x14:dataValidation>
        <x14:dataValidation type="list" allowBlank="1" showInputMessage="1" showErrorMessage="1" xr:uid="{00000000-0002-0000-0100-000003000000}">
          <x14:formula1>
            <xm:f>Dropdown!$G$2:$G$7</xm:f>
          </x14:formula1>
          <xm:sqref>M3:M56</xm:sqref>
        </x14:dataValidation>
        <x14:dataValidation type="list" allowBlank="1" showInputMessage="1" showErrorMessage="1" xr:uid="{00000000-0002-0000-0100-000004000000}">
          <x14:formula1>
            <xm:f>Dropdown!$I$2:$I$7</xm:f>
          </x14:formula1>
          <xm:sqref>O3:O56</xm:sqref>
        </x14:dataValidation>
        <x14:dataValidation type="list" allowBlank="1" showInputMessage="1" showErrorMessage="1" xr:uid="{00000000-0002-0000-0100-000005000000}">
          <x14:formula1>
            <xm:f>Dropdown!$K$2:$K$7</xm:f>
          </x14:formula1>
          <xm:sqref>I3:I56</xm:sqref>
        </x14:dataValidation>
        <x14:dataValidation type="list" allowBlank="1" showInputMessage="1" showErrorMessage="1" xr:uid="{00000000-0002-0000-0100-000006000000}">
          <x14:formula1>
            <xm:f>Dropdown!$M$2:$M$7</xm:f>
          </x14:formula1>
          <xm:sqref>Q3:Q56</xm:sqref>
        </x14:dataValidation>
        <x14:dataValidation type="list" allowBlank="1" showInputMessage="1" showErrorMessage="1" xr:uid="{00000000-0002-0000-0100-000007000000}">
          <x14:formula1>
            <xm:f>Dropdown!$O$2:$O$7</xm:f>
          </x14:formula1>
          <xm:sqref>S3:S56</xm:sqref>
        </x14:dataValidation>
        <x14:dataValidation type="list" allowBlank="1" showInputMessage="1" showErrorMessage="1" xr:uid="{00000000-0002-0000-0100-000008000000}">
          <x14:formula1>
            <xm:f>Dropdown!$Q$2:$Q$5</xm:f>
          </x14:formula1>
          <xm:sqref>U3:U56</xm:sqref>
        </x14:dataValidation>
        <x14:dataValidation type="list" allowBlank="1" showInputMessage="1" showErrorMessage="1" xr:uid="{00000000-0002-0000-0100-000009000000}">
          <x14:formula1>
            <xm:f>Dropdown!$S$2:$S$7</xm:f>
          </x14:formula1>
          <xm:sqref>W3:W56</xm:sqref>
        </x14:dataValidation>
        <x14:dataValidation type="list" allowBlank="1" showInputMessage="1" showErrorMessage="1" xr:uid="{00000000-0002-0000-0100-00000B000000}">
          <x14:formula1>
            <xm:f>Dropdown!$U$2:$U$6</xm:f>
          </x14:formula1>
          <xm:sqref>BD39:BD56 AT39:AT56 AU23:AU56 AV23:AV37 AV39:AV56 BA23:BA56 BD23:BD37 BC23:BC56 AT23:AT37 AR39:AR56 AX23:AX37 AY23:AY56 AX39:AX56 AZ23:AZ37 BB23:BB37 AZ39:AZ56 BB39:BB56 AS15:AS56 AR3:AV14 AR15:AR37 AT15:AV22 AP39:AP56 AP3:AP37 AX3:BD22 AA3:AM56 Y3:Y56</xm:sqref>
        </x14:dataValidation>
        <x14:dataValidation type="list" allowBlank="1" showInputMessage="1" showErrorMessage="1" xr:uid="{00000000-0002-0000-0100-000000000000}">
          <x14:formula1>
            <xm:f>Dropdown!$A$2:$A$7</xm:f>
          </x14:formula1>
          <xm:sqref>E3:E56</xm:sqref>
        </x14:dataValidation>
        <x14:dataValidation type="list" allowBlank="1" showInputMessage="1" showErrorMessage="1" xr:uid="{00000000-0002-0000-0100-00000A000000}">
          <x14:formula1>
            <xm:f>Dropdown!$W$2:$W$39</xm:f>
          </x14:formula1>
          <xm:sqref>AO3:AO56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C34"/>
  <sheetViews>
    <sheetView topLeftCell="M1" workbookViewId="0">
      <selection activeCell="W16" sqref="W16"/>
    </sheetView>
  </sheetViews>
  <sheetFormatPr defaultRowHeight="14.4" x14ac:dyDescent="0.3"/>
  <cols>
    <col min="1" max="1" width="56" bestFit="1" customWidth="1"/>
    <col min="2" max="2" width="2" bestFit="1" customWidth="1"/>
    <col min="3" max="3" width="27.109375" bestFit="1" customWidth="1"/>
    <col min="4" max="4" width="2" bestFit="1" customWidth="1"/>
    <col min="5" max="5" width="29.88671875" bestFit="1" customWidth="1"/>
    <col min="6" max="6" width="2" bestFit="1" customWidth="1"/>
    <col min="7" max="7" width="47.5546875" bestFit="1" customWidth="1"/>
    <col min="8" max="8" width="2" bestFit="1" customWidth="1"/>
    <col min="9" max="9" width="61.33203125" bestFit="1" customWidth="1"/>
    <col min="10" max="10" width="2" bestFit="1" customWidth="1"/>
    <col min="11" max="11" width="17.5546875" bestFit="1" customWidth="1"/>
    <col min="12" max="12" width="2" bestFit="1" customWidth="1"/>
    <col min="13" max="13" width="31" bestFit="1" customWidth="1"/>
    <col min="14" max="14" width="2" bestFit="1" customWidth="1"/>
    <col min="15" max="15" width="29.6640625" bestFit="1" customWidth="1"/>
    <col min="17" max="17" width="24.33203125" bestFit="1" customWidth="1"/>
    <col min="18" max="18" width="2" bestFit="1" customWidth="1"/>
    <col min="19" max="19" width="19.88671875" bestFit="1" customWidth="1"/>
    <col min="20" max="20" width="4" bestFit="1" customWidth="1"/>
    <col min="21" max="21" width="31.88671875" bestFit="1" customWidth="1"/>
    <col min="22" max="22" width="2" bestFit="1" customWidth="1"/>
    <col min="23" max="23" width="19.5546875" bestFit="1" customWidth="1"/>
    <col min="24" max="24" width="34.6640625" bestFit="1" customWidth="1"/>
    <col min="25" max="25" width="2" bestFit="1" customWidth="1"/>
    <col min="26" max="26" width="15.44140625" bestFit="1" customWidth="1"/>
    <col min="27" max="27" width="2" bestFit="1" customWidth="1"/>
    <col min="28" max="28" width="26.88671875" bestFit="1" customWidth="1"/>
  </cols>
  <sheetData>
    <row r="1" spans="1:29" ht="21.75" customHeight="1" x14ac:dyDescent="0.3">
      <c r="A1" s="2" t="s">
        <v>136</v>
      </c>
      <c r="B1" s="3"/>
      <c r="C1" s="2" t="s">
        <v>137</v>
      </c>
      <c r="D1" s="3"/>
      <c r="E1" s="2" t="s">
        <v>138</v>
      </c>
      <c r="F1" s="3"/>
      <c r="G1" s="2" t="s">
        <v>139</v>
      </c>
      <c r="H1" s="3"/>
      <c r="I1" s="2" t="s">
        <v>140</v>
      </c>
      <c r="J1" s="3"/>
      <c r="K1" s="2" t="s">
        <v>87</v>
      </c>
      <c r="L1" s="3"/>
      <c r="M1" s="2" t="s">
        <v>91</v>
      </c>
      <c r="N1" s="3"/>
      <c r="O1" s="2" t="s">
        <v>141</v>
      </c>
      <c r="P1" s="3"/>
      <c r="Q1" s="2" t="s">
        <v>93</v>
      </c>
      <c r="R1" s="3"/>
      <c r="S1" s="2" t="s">
        <v>142</v>
      </c>
      <c r="T1" s="3"/>
      <c r="U1" s="2" t="s">
        <v>143</v>
      </c>
      <c r="V1" s="3"/>
      <c r="W1" t="str">
        <f>Services!A1</f>
        <v>Services</v>
      </c>
      <c r="X1" s="2" t="s">
        <v>144</v>
      </c>
      <c r="Y1" s="3"/>
      <c r="Z1" s="2" t="s">
        <v>145</v>
      </c>
      <c r="AA1" s="3"/>
      <c r="AB1" s="2" t="s">
        <v>146</v>
      </c>
      <c r="AC1" s="3"/>
    </row>
    <row r="2" spans="1:29" x14ac:dyDescent="0.3">
      <c r="A2" s="4" t="s">
        <v>113</v>
      </c>
      <c r="B2" s="5">
        <v>0</v>
      </c>
      <c r="C2" s="4" t="s">
        <v>114</v>
      </c>
      <c r="D2" s="5">
        <v>0</v>
      </c>
      <c r="E2" s="4" t="s">
        <v>108</v>
      </c>
      <c r="F2" s="5">
        <v>0</v>
      </c>
      <c r="G2" s="4" t="s">
        <v>108</v>
      </c>
      <c r="H2" s="5">
        <v>0</v>
      </c>
      <c r="I2" s="4" t="s">
        <v>109</v>
      </c>
      <c r="J2" s="5">
        <v>0</v>
      </c>
      <c r="K2" s="4" t="s">
        <v>108</v>
      </c>
      <c r="L2" s="5">
        <v>0</v>
      </c>
      <c r="M2" s="4" t="s">
        <v>110</v>
      </c>
      <c r="N2" s="5">
        <v>0</v>
      </c>
      <c r="O2" s="4" t="s">
        <v>111</v>
      </c>
      <c r="P2" s="5">
        <v>0</v>
      </c>
      <c r="Q2" s="4" t="s">
        <v>108</v>
      </c>
      <c r="R2" s="5">
        <v>0</v>
      </c>
      <c r="S2" s="4" t="s">
        <v>112</v>
      </c>
      <c r="T2" s="5">
        <v>0</v>
      </c>
      <c r="U2" s="4" t="s">
        <v>147</v>
      </c>
      <c r="V2" s="5">
        <v>5</v>
      </c>
      <c r="W2" t="str">
        <f>Services!A3</f>
        <v>SAPS</v>
      </c>
      <c r="X2" s="4" t="s">
        <v>148</v>
      </c>
      <c r="Y2" s="5">
        <v>0</v>
      </c>
      <c r="Z2" s="4" t="s">
        <v>149</v>
      </c>
      <c r="AA2" s="5">
        <v>0</v>
      </c>
      <c r="AB2" s="4" t="s">
        <v>150</v>
      </c>
      <c r="AC2" s="5">
        <v>0</v>
      </c>
    </row>
    <row r="3" spans="1:29" x14ac:dyDescent="0.3">
      <c r="A3" s="4" t="s">
        <v>151</v>
      </c>
      <c r="B3" s="5">
        <v>1</v>
      </c>
      <c r="C3" s="4" t="s">
        <v>152</v>
      </c>
      <c r="D3" s="5">
        <v>1</v>
      </c>
      <c r="E3" s="8" t="s">
        <v>153</v>
      </c>
      <c r="F3" s="5">
        <v>1</v>
      </c>
      <c r="G3" s="4" t="s">
        <v>154</v>
      </c>
      <c r="H3" s="5">
        <v>1</v>
      </c>
      <c r="I3" s="4" t="s">
        <v>155</v>
      </c>
      <c r="J3" s="5">
        <v>1</v>
      </c>
      <c r="K3" s="4" t="s">
        <v>156</v>
      </c>
      <c r="L3" s="5">
        <v>1</v>
      </c>
      <c r="M3" s="4" t="s">
        <v>157</v>
      </c>
      <c r="N3" s="5">
        <v>1</v>
      </c>
      <c r="O3" s="4" t="s">
        <v>158</v>
      </c>
      <c r="P3" s="5">
        <v>1</v>
      </c>
      <c r="Q3" s="4" t="s">
        <v>159</v>
      </c>
      <c r="R3" s="5">
        <v>1</v>
      </c>
      <c r="S3" s="4" t="s">
        <v>160</v>
      </c>
      <c r="T3" s="5">
        <v>1</v>
      </c>
      <c r="U3" s="4" t="s">
        <v>161</v>
      </c>
      <c r="V3" s="5">
        <v>4</v>
      </c>
      <c r="W3" t="str">
        <f>Services!A4</f>
        <v>Fire Brigade Services</v>
      </c>
      <c r="X3" s="4" t="s">
        <v>162</v>
      </c>
      <c r="Y3" s="5">
        <v>1</v>
      </c>
      <c r="Z3" s="4" t="s">
        <v>163</v>
      </c>
      <c r="AA3" s="5">
        <v>1</v>
      </c>
      <c r="AB3" s="4" t="s">
        <v>164</v>
      </c>
      <c r="AC3" s="5">
        <v>0.1</v>
      </c>
    </row>
    <row r="4" spans="1:29" x14ac:dyDescent="0.3">
      <c r="A4" s="4" t="s">
        <v>165</v>
      </c>
      <c r="B4" s="5">
        <v>2</v>
      </c>
      <c r="C4" s="4" t="s">
        <v>106</v>
      </c>
      <c r="D4" s="5">
        <v>2</v>
      </c>
      <c r="E4" s="4" t="s">
        <v>166</v>
      </c>
      <c r="F4" s="5">
        <v>2</v>
      </c>
      <c r="G4" s="4" t="s">
        <v>167</v>
      </c>
      <c r="H4" s="5">
        <v>2</v>
      </c>
      <c r="I4" s="4" t="s">
        <v>168</v>
      </c>
      <c r="J4" s="5">
        <v>2</v>
      </c>
      <c r="K4" s="4" t="s">
        <v>169</v>
      </c>
      <c r="L4" s="5">
        <v>2</v>
      </c>
      <c r="M4" s="4" t="s">
        <v>170</v>
      </c>
      <c r="N4" s="5">
        <v>2</v>
      </c>
      <c r="O4" s="4" t="s">
        <v>171</v>
      </c>
      <c r="P4" s="5">
        <v>2</v>
      </c>
      <c r="Q4" s="4" t="s">
        <v>172</v>
      </c>
      <c r="R4" s="5">
        <v>3</v>
      </c>
      <c r="S4" s="4" t="s">
        <v>173</v>
      </c>
      <c r="T4" s="5">
        <v>2</v>
      </c>
      <c r="U4" s="4" t="s">
        <v>119</v>
      </c>
      <c r="V4" s="5">
        <v>2</v>
      </c>
      <c r="W4" t="str">
        <f>Services!A5</f>
        <v>Ambulance Services</v>
      </c>
      <c r="X4" s="4" t="s">
        <v>174</v>
      </c>
      <c r="Y4" s="5">
        <v>2</v>
      </c>
      <c r="Z4" s="4" t="s">
        <v>175</v>
      </c>
      <c r="AA4" s="5">
        <v>2</v>
      </c>
      <c r="AB4" s="4" t="s">
        <v>176</v>
      </c>
      <c r="AC4" s="5">
        <v>0.3</v>
      </c>
    </row>
    <row r="5" spans="1:29" x14ac:dyDescent="0.3">
      <c r="A5" s="4" t="s">
        <v>105</v>
      </c>
      <c r="B5" s="5">
        <v>3</v>
      </c>
      <c r="C5" s="4" t="s">
        <v>177</v>
      </c>
      <c r="D5" s="5">
        <v>3</v>
      </c>
      <c r="E5" s="4" t="s">
        <v>121</v>
      </c>
      <c r="F5" s="5">
        <v>3</v>
      </c>
      <c r="G5" s="4" t="s">
        <v>178</v>
      </c>
      <c r="H5" s="5">
        <v>3</v>
      </c>
      <c r="I5" s="4" t="s">
        <v>179</v>
      </c>
      <c r="J5" s="5">
        <v>3</v>
      </c>
      <c r="K5" s="4" t="s">
        <v>180</v>
      </c>
      <c r="L5" s="5">
        <v>3</v>
      </c>
      <c r="M5" s="4" t="s">
        <v>181</v>
      </c>
      <c r="N5" s="5">
        <v>3</v>
      </c>
      <c r="O5" s="4" t="s">
        <v>182</v>
      </c>
      <c r="P5" s="5">
        <v>3</v>
      </c>
      <c r="Q5" s="4" t="s">
        <v>183</v>
      </c>
      <c r="R5" s="5">
        <v>5</v>
      </c>
      <c r="S5" s="4" t="s">
        <v>184</v>
      </c>
      <c r="T5" s="5">
        <v>3</v>
      </c>
      <c r="U5" s="4" t="s">
        <v>118</v>
      </c>
      <c r="V5" s="5">
        <v>1</v>
      </c>
      <c r="W5" t="str">
        <f>Services!A6</f>
        <v>Health Department</v>
      </c>
      <c r="X5" s="4" t="s">
        <v>185</v>
      </c>
      <c r="Y5" s="5">
        <v>3</v>
      </c>
      <c r="Z5" s="4" t="s">
        <v>186</v>
      </c>
      <c r="AA5" s="5">
        <v>3</v>
      </c>
      <c r="AB5" s="4"/>
      <c r="AC5" s="5"/>
    </row>
    <row r="6" spans="1:29" x14ac:dyDescent="0.3">
      <c r="A6" s="4" t="s">
        <v>116</v>
      </c>
      <c r="B6" s="5">
        <v>4</v>
      </c>
      <c r="C6" s="4" t="s">
        <v>120</v>
      </c>
      <c r="D6" s="5">
        <v>4</v>
      </c>
      <c r="E6" s="4" t="s">
        <v>187</v>
      </c>
      <c r="F6" s="5">
        <v>4</v>
      </c>
      <c r="G6" s="4" t="s">
        <v>122</v>
      </c>
      <c r="H6" s="5">
        <v>4</v>
      </c>
      <c r="I6" s="4" t="s">
        <v>188</v>
      </c>
      <c r="J6" s="5">
        <v>4</v>
      </c>
      <c r="K6" s="4" t="s">
        <v>189</v>
      </c>
      <c r="L6" s="5">
        <v>4</v>
      </c>
      <c r="M6" s="4" t="s">
        <v>190</v>
      </c>
      <c r="N6" s="5">
        <v>4</v>
      </c>
      <c r="O6" s="4" t="s">
        <v>191</v>
      </c>
      <c r="P6" s="5">
        <v>4</v>
      </c>
      <c r="Q6" s="4"/>
      <c r="R6" s="5"/>
      <c r="S6" s="4" t="s">
        <v>192</v>
      </c>
      <c r="T6" s="5">
        <v>4</v>
      </c>
      <c r="U6" s="4" t="s">
        <v>108</v>
      </c>
      <c r="V6" s="5">
        <v>0</v>
      </c>
      <c r="W6" t="str">
        <f>Services!A7</f>
        <v>Traffic Department</v>
      </c>
      <c r="X6" s="4" t="s">
        <v>193</v>
      </c>
      <c r="Y6" s="5">
        <v>4</v>
      </c>
      <c r="Z6" s="4" t="s">
        <v>194</v>
      </c>
      <c r="AA6" s="5">
        <v>4</v>
      </c>
      <c r="AB6" s="4"/>
      <c r="AC6" s="5"/>
    </row>
    <row r="7" spans="1:29" ht="15" thickBot="1" x14ac:dyDescent="0.35">
      <c r="A7" s="6" t="s">
        <v>195</v>
      </c>
      <c r="B7" s="7">
        <v>5</v>
      </c>
      <c r="C7" s="6" t="s">
        <v>196</v>
      </c>
      <c r="D7" s="7">
        <v>5</v>
      </c>
      <c r="E7" s="6" t="s">
        <v>197</v>
      </c>
      <c r="F7" s="7">
        <v>5</v>
      </c>
      <c r="G7" s="6" t="s">
        <v>198</v>
      </c>
      <c r="H7" s="7">
        <v>5</v>
      </c>
      <c r="I7" s="6" t="s">
        <v>199</v>
      </c>
      <c r="J7" s="7">
        <v>5</v>
      </c>
      <c r="K7" s="6" t="s">
        <v>117</v>
      </c>
      <c r="L7" s="7">
        <v>5</v>
      </c>
      <c r="M7" s="6" t="s">
        <v>200</v>
      </c>
      <c r="N7" s="7">
        <v>5</v>
      </c>
      <c r="O7" s="6" t="s">
        <v>201</v>
      </c>
      <c r="P7" s="7">
        <v>5</v>
      </c>
      <c r="Q7" s="6"/>
      <c r="R7" s="7"/>
      <c r="S7" s="6" t="s">
        <v>202</v>
      </c>
      <c r="T7" s="7">
        <v>5</v>
      </c>
      <c r="U7" s="6"/>
      <c r="V7" s="7"/>
      <c r="W7" t="str">
        <f>Services!A8</f>
        <v>Social Development</v>
      </c>
      <c r="X7" s="6" t="s">
        <v>203</v>
      </c>
      <c r="Y7" s="7">
        <v>5</v>
      </c>
      <c r="Z7" s="6" t="s">
        <v>204</v>
      </c>
      <c r="AA7" s="7">
        <v>5</v>
      </c>
      <c r="AB7" s="6"/>
      <c r="AC7" s="7"/>
    </row>
    <row r="8" spans="1:29" x14ac:dyDescent="0.3">
      <c r="W8" t="str">
        <f>Services!A9</f>
        <v>Housing</v>
      </c>
    </row>
    <row r="9" spans="1:29" x14ac:dyDescent="0.3">
      <c r="W9" t="str">
        <f>Services!A10</f>
        <v>Agriculture</v>
      </c>
    </row>
    <row r="10" spans="1:29" x14ac:dyDescent="0.3">
      <c r="W10" t="str">
        <f>Services!A11</f>
        <v>Disaster Management</v>
      </c>
    </row>
    <row r="11" spans="1:29" x14ac:dyDescent="0.3">
      <c r="W11" t="str">
        <f>Services!A12</f>
        <v>Water &amp; sanitation</v>
      </c>
    </row>
    <row r="12" spans="1:29" x14ac:dyDescent="0.3">
      <c r="W12" t="str">
        <f>Services!A13</f>
        <v>Home Affairs</v>
      </c>
    </row>
    <row r="13" spans="1:29" x14ac:dyDescent="0.3">
      <c r="W13" t="str">
        <f>Services!A14</f>
        <v>SANRAL</v>
      </c>
    </row>
    <row r="14" spans="1:29" x14ac:dyDescent="0.3">
      <c r="W14" t="str">
        <f>Services!A15</f>
        <v>ESKOM</v>
      </c>
    </row>
    <row r="15" spans="1:29" x14ac:dyDescent="0.3">
      <c r="W15" t="s">
        <v>205</v>
      </c>
    </row>
    <row r="16" spans="1:29" x14ac:dyDescent="0.3">
      <c r="W16">
        <f>Services!A17</f>
        <v>0</v>
      </c>
    </row>
    <row r="17" spans="23:23" x14ac:dyDescent="0.3">
      <c r="W17">
        <f>Services!A18</f>
        <v>0</v>
      </c>
    </row>
    <row r="18" spans="23:23" x14ac:dyDescent="0.3">
      <c r="W18">
        <f>Services!A19</f>
        <v>0</v>
      </c>
    </row>
    <row r="19" spans="23:23" x14ac:dyDescent="0.3">
      <c r="W19">
        <f>Services!A20</f>
        <v>0</v>
      </c>
    </row>
    <row r="20" spans="23:23" x14ac:dyDescent="0.3">
      <c r="W20">
        <f>Services!A21</f>
        <v>0</v>
      </c>
    </row>
    <row r="21" spans="23:23" x14ac:dyDescent="0.3">
      <c r="W21">
        <f>Services!A22</f>
        <v>0</v>
      </c>
    </row>
    <row r="22" spans="23:23" x14ac:dyDescent="0.3">
      <c r="W22">
        <f>Services!A23</f>
        <v>0</v>
      </c>
    </row>
    <row r="23" spans="23:23" x14ac:dyDescent="0.3">
      <c r="W23">
        <f>Services!A24</f>
        <v>0</v>
      </c>
    </row>
    <row r="24" spans="23:23" x14ac:dyDescent="0.3">
      <c r="W24">
        <f>Services!A25</f>
        <v>0</v>
      </c>
    </row>
    <row r="25" spans="23:23" x14ac:dyDescent="0.3">
      <c r="W25">
        <f>Services!A26</f>
        <v>0</v>
      </c>
    </row>
    <row r="26" spans="23:23" x14ac:dyDescent="0.3">
      <c r="W26">
        <f>Services!A27</f>
        <v>0</v>
      </c>
    </row>
    <row r="27" spans="23:23" x14ac:dyDescent="0.3">
      <c r="W27">
        <f>Services!A28</f>
        <v>0</v>
      </c>
    </row>
    <row r="28" spans="23:23" x14ac:dyDescent="0.3">
      <c r="W28">
        <f>Services!A29</f>
        <v>0</v>
      </c>
    </row>
    <row r="29" spans="23:23" x14ac:dyDescent="0.3">
      <c r="W29">
        <f>Services!A30</f>
        <v>0</v>
      </c>
    </row>
    <row r="30" spans="23:23" x14ac:dyDescent="0.3">
      <c r="W30">
        <f>Services!A31</f>
        <v>0</v>
      </c>
    </row>
    <row r="31" spans="23:23" x14ac:dyDescent="0.3">
      <c r="W31">
        <f>Services!A32</f>
        <v>0</v>
      </c>
    </row>
    <row r="32" spans="23:23" x14ac:dyDescent="0.3">
      <c r="W32">
        <f>Services!A33</f>
        <v>0</v>
      </c>
    </row>
    <row r="33" spans="23:23" x14ac:dyDescent="0.3">
      <c r="W33">
        <f>Services!A34</f>
        <v>0</v>
      </c>
    </row>
    <row r="34" spans="23:23" x14ac:dyDescent="0.3">
      <c r="W34">
        <f>Services!A35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94CE6-4506-4246-A1AD-6F708577537D}">
  <dimension ref="A1:E220"/>
  <sheetViews>
    <sheetView workbookViewId="0">
      <selection activeCell="B3" sqref="B3"/>
    </sheetView>
  </sheetViews>
  <sheetFormatPr defaultRowHeight="14.4" x14ac:dyDescent="0.3"/>
  <cols>
    <col min="1" max="1" width="20" bestFit="1" customWidth="1"/>
    <col min="2" max="5" width="31.44140625" style="33" customWidth="1"/>
  </cols>
  <sheetData>
    <row r="1" spans="1:5" x14ac:dyDescent="0.3">
      <c r="A1" t="str">
        <f>Services!A1</f>
        <v>Services</v>
      </c>
      <c r="B1" s="39" t="s">
        <v>4</v>
      </c>
      <c r="C1" s="39" t="s">
        <v>5</v>
      </c>
      <c r="D1" s="39" t="s">
        <v>6</v>
      </c>
      <c r="E1" s="39" t="s">
        <v>7</v>
      </c>
    </row>
    <row r="2" spans="1:5" x14ac:dyDescent="0.3">
      <c r="A2">
        <f>Services!A2</f>
        <v>0</v>
      </c>
    </row>
    <row r="3" spans="1:5" x14ac:dyDescent="0.3">
      <c r="A3" t="str">
        <f>Services!A3</f>
        <v>SAPS</v>
      </c>
    </row>
    <row r="4" spans="1:5" x14ac:dyDescent="0.3">
      <c r="A4" t="str">
        <f>Services!A4</f>
        <v>Fire Brigade Services</v>
      </c>
    </row>
    <row r="5" spans="1:5" x14ac:dyDescent="0.3">
      <c r="A5" t="str">
        <f>Services!A5</f>
        <v>Ambulance Services</v>
      </c>
    </row>
    <row r="6" spans="1:5" x14ac:dyDescent="0.3">
      <c r="A6" t="str">
        <f>Services!A6</f>
        <v>Health Department</v>
      </c>
    </row>
    <row r="7" spans="1:5" x14ac:dyDescent="0.3">
      <c r="A7" t="str">
        <f>Services!A7</f>
        <v>Traffic Department</v>
      </c>
    </row>
    <row r="8" spans="1:5" x14ac:dyDescent="0.3">
      <c r="A8" t="str">
        <f>Services!A8</f>
        <v>Social Development</v>
      </c>
    </row>
    <row r="9" spans="1:5" x14ac:dyDescent="0.3">
      <c r="A9" t="str">
        <f>Services!A9</f>
        <v>Housing</v>
      </c>
    </row>
    <row r="10" spans="1:5" x14ac:dyDescent="0.3">
      <c r="A10" t="str">
        <f>Services!A10</f>
        <v>Agriculture</v>
      </c>
    </row>
    <row r="11" spans="1:5" x14ac:dyDescent="0.3">
      <c r="A11" t="str">
        <f>Services!A11</f>
        <v>Disaster Management</v>
      </c>
    </row>
    <row r="12" spans="1:5" x14ac:dyDescent="0.3">
      <c r="A12" t="str">
        <f>Services!A12</f>
        <v>Water &amp; sanitation</v>
      </c>
    </row>
    <row r="13" spans="1:5" x14ac:dyDescent="0.3">
      <c r="A13" t="str">
        <f>Services!A13</f>
        <v>Home Affairs</v>
      </c>
    </row>
    <row r="14" spans="1:5" x14ac:dyDescent="0.3">
      <c r="A14" t="str">
        <f>Services!A14</f>
        <v>SANRAL</v>
      </c>
    </row>
    <row r="15" spans="1:5" x14ac:dyDescent="0.3">
      <c r="A15" t="str">
        <f>Services!A15</f>
        <v>ESKOM</v>
      </c>
    </row>
    <row r="16" spans="1:5" x14ac:dyDescent="0.3">
      <c r="A16">
        <f>Services!A16</f>
        <v>0</v>
      </c>
    </row>
    <row r="17" spans="1:1" x14ac:dyDescent="0.3">
      <c r="A17">
        <f>Services!A17</f>
        <v>0</v>
      </c>
    </row>
    <row r="18" spans="1:1" x14ac:dyDescent="0.3">
      <c r="A18">
        <f>Services!A18</f>
        <v>0</v>
      </c>
    </row>
    <row r="19" spans="1:1" x14ac:dyDescent="0.3">
      <c r="A19">
        <f>Services!A19</f>
        <v>0</v>
      </c>
    </row>
    <row r="20" spans="1:1" x14ac:dyDescent="0.3">
      <c r="A20">
        <f>Services!A20</f>
        <v>0</v>
      </c>
    </row>
    <row r="21" spans="1:1" x14ac:dyDescent="0.3">
      <c r="A21">
        <f>Services!A21</f>
        <v>0</v>
      </c>
    </row>
    <row r="22" spans="1:1" x14ac:dyDescent="0.3">
      <c r="A22">
        <f>Services!A22</f>
        <v>0</v>
      </c>
    </row>
    <row r="23" spans="1:1" x14ac:dyDescent="0.3">
      <c r="A23">
        <f>Services!A23</f>
        <v>0</v>
      </c>
    </row>
    <row r="24" spans="1:1" x14ac:dyDescent="0.3">
      <c r="A24">
        <f>Services!A24</f>
        <v>0</v>
      </c>
    </row>
    <row r="25" spans="1:1" x14ac:dyDescent="0.3">
      <c r="A25">
        <f>Services!A25</f>
        <v>0</v>
      </c>
    </row>
    <row r="26" spans="1:1" x14ac:dyDescent="0.3">
      <c r="A26">
        <f>Services!A26</f>
        <v>0</v>
      </c>
    </row>
    <row r="27" spans="1:1" x14ac:dyDescent="0.3">
      <c r="A27">
        <f>Services!A27</f>
        <v>0</v>
      </c>
    </row>
    <row r="28" spans="1:1" x14ac:dyDescent="0.3">
      <c r="A28">
        <f>Services!A28</f>
        <v>0</v>
      </c>
    </row>
    <row r="29" spans="1:1" x14ac:dyDescent="0.3">
      <c r="A29">
        <f>Services!A29</f>
        <v>0</v>
      </c>
    </row>
    <row r="30" spans="1:1" x14ac:dyDescent="0.3">
      <c r="A30">
        <f>Services!A30</f>
        <v>0</v>
      </c>
    </row>
    <row r="31" spans="1:1" x14ac:dyDescent="0.3">
      <c r="A31">
        <f>Services!A31</f>
        <v>0</v>
      </c>
    </row>
    <row r="32" spans="1:1" x14ac:dyDescent="0.3">
      <c r="A32">
        <f>Services!A32</f>
        <v>0</v>
      </c>
    </row>
    <row r="33" spans="1:1" x14ac:dyDescent="0.3">
      <c r="A33">
        <f>Services!A33</f>
        <v>0</v>
      </c>
    </row>
    <row r="34" spans="1:1" x14ac:dyDescent="0.3">
      <c r="A34">
        <f>Services!A34</f>
        <v>0</v>
      </c>
    </row>
    <row r="35" spans="1:1" x14ac:dyDescent="0.3">
      <c r="A35">
        <f>Services!A35</f>
        <v>0</v>
      </c>
    </row>
    <row r="36" spans="1:1" x14ac:dyDescent="0.3">
      <c r="A36">
        <f>Services!A36</f>
        <v>0</v>
      </c>
    </row>
    <row r="37" spans="1:1" x14ac:dyDescent="0.3">
      <c r="A37">
        <f>Services!A37</f>
        <v>0</v>
      </c>
    </row>
    <row r="38" spans="1:1" x14ac:dyDescent="0.3">
      <c r="A38">
        <f>Services!A38</f>
        <v>0</v>
      </c>
    </row>
    <row r="39" spans="1:1" x14ac:dyDescent="0.3">
      <c r="A39">
        <f>Services!A39</f>
        <v>0</v>
      </c>
    </row>
    <row r="40" spans="1:1" x14ac:dyDescent="0.3">
      <c r="A40">
        <f>Services!A40</f>
        <v>0</v>
      </c>
    </row>
    <row r="41" spans="1:1" x14ac:dyDescent="0.3">
      <c r="A41">
        <f>Services!A41</f>
        <v>0</v>
      </c>
    </row>
    <row r="42" spans="1:1" x14ac:dyDescent="0.3">
      <c r="A42">
        <f>Services!A42</f>
        <v>0</v>
      </c>
    </row>
    <row r="43" spans="1:1" x14ac:dyDescent="0.3">
      <c r="A43">
        <f>Services!A43</f>
        <v>0</v>
      </c>
    </row>
    <row r="44" spans="1:1" x14ac:dyDescent="0.3">
      <c r="A44">
        <f>Services!A44</f>
        <v>0</v>
      </c>
    </row>
    <row r="45" spans="1:1" x14ac:dyDescent="0.3">
      <c r="A45">
        <f>Services!A45</f>
        <v>0</v>
      </c>
    </row>
    <row r="46" spans="1:1" x14ac:dyDescent="0.3">
      <c r="A46">
        <f>Services!A46</f>
        <v>0</v>
      </c>
    </row>
    <row r="47" spans="1:1" x14ac:dyDescent="0.3">
      <c r="A47">
        <f>Services!A47</f>
        <v>0</v>
      </c>
    </row>
    <row r="48" spans="1:1" x14ac:dyDescent="0.3">
      <c r="A48">
        <f>Services!A48</f>
        <v>0</v>
      </c>
    </row>
    <row r="49" spans="1:1" x14ac:dyDescent="0.3">
      <c r="A49">
        <f>Services!A49</f>
        <v>0</v>
      </c>
    </row>
    <row r="50" spans="1:1" x14ac:dyDescent="0.3">
      <c r="A50">
        <f>Services!A50</f>
        <v>0</v>
      </c>
    </row>
    <row r="51" spans="1:1" x14ac:dyDescent="0.3">
      <c r="A51">
        <f>Services!A51</f>
        <v>0</v>
      </c>
    </row>
    <row r="52" spans="1:1" x14ac:dyDescent="0.3">
      <c r="A52">
        <f>Services!A52</f>
        <v>0</v>
      </c>
    </row>
    <row r="53" spans="1:1" x14ac:dyDescent="0.3">
      <c r="A53">
        <f>Services!A53</f>
        <v>0</v>
      </c>
    </row>
    <row r="54" spans="1:1" x14ac:dyDescent="0.3">
      <c r="A54">
        <f>Services!A54</f>
        <v>0</v>
      </c>
    </row>
    <row r="55" spans="1:1" x14ac:dyDescent="0.3">
      <c r="A55">
        <f>Services!A55</f>
        <v>0</v>
      </c>
    </row>
    <row r="56" spans="1:1" x14ac:dyDescent="0.3">
      <c r="A56">
        <f>Services!A56</f>
        <v>0</v>
      </c>
    </row>
    <row r="57" spans="1:1" x14ac:dyDescent="0.3">
      <c r="A57">
        <f>Services!A57</f>
        <v>0</v>
      </c>
    </row>
    <row r="58" spans="1:1" x14ac:dyDescent="0.3">
      <c r="A58">
        <f>Services!A58</f>
        <v>0</v>
      </c>
    </row>
    <row r="59" spans="1:1" x14ac:dyDescent="0.3">
      <c r="A59">
        <f>Services!A59</f>
        <v>0</v>
      </c>
    </row>
    <row r="60" spans="1:1" x14ac:dyDescent="0.3">
      <c r="A60">
        <f>Services!A60</f>
        <v>0</v>
      </c>
    </row>
    <row r="61" spans="1:1" x14ac:dyDescent="0.3">
      <c r="A61">
        <f>Services!A61</f>
        <v>0</v>
      </c>
    </row>
    <row r="62" spans="1:1" x14ac:dyDescent="0.3">
      <c r="A62">
        <f>Services!A62</f>
        <v>0</v>
      </c>
    </row>
    <row r="63" spans="1:1" x14ac:dyDescent="0.3">
      <c r="A63">
        <f>Services!A63</f>
        <v>0</v>
      </c>
    </row>
    <row r="64" spans="1:1" x14ac:dyDescent="0.3">
      <c r="A64">
        <f>Services!A64</f>
        <v>0</v>
      </c>
    </row>
    <row r="65" spans="1:1" x14ac:dyDescent="0.3">
      <c r="A65">
        <f>Services!A65</f>
        <v>0</v>
      </c>
    </row>
    <row r="66" spans="1:1" x14ac:dyDescent="0.3">
      <c r="A66">
        <f>Services!A66</f>
        <v>0</v>
      </c>
    </row>
    <row r="67" spans="1:1" x14ac:dyDescent="0.3">
      <c r="A67">
        <f>Services!A67</f>
        <v>0</v>
      </c>
    </row>
    <row r="68" spans="1:1" x14ac:dyDescent="0.3">
      <c r="A68">
        <f>Services!A68</f>
        <v>0</v>
      </c>
    </row>
    <row r="69" spans="1:1" x14ac:dyDescent="0.3">
      <c r="A69">
        <f>Services!A69</f>
        <v>0</v>
      </c>
    </row>
    <row r="70" spans="1:1" x14ac:dyDescent="0.3">
      <c r="A70">
        <f>Services!A70</f>
        <v>0</v>
      </c>
    </row>
    <row r="71" spans="1:1" x14ac:dyDescent="0.3">
      <c r="A71">
        <f>Services!A71</f>
        <v>0</v>
      </c>
    </row>
    <row r="72" spans="1:1" x14ac:dyDescent="0.3">
      <c r="A72">
        <f>Services!A72</f>
        <v>0</v>
      </c>
    </row>
    <row r="73" spans="1:1" x14ac:dyDescent="0.3">
      <c r="A73">
        <f>Services!A73</f>
        <v>0</v>
      </c>
    </row>
    <row r="74" spans="1:1" x14ac:dyDescent="0.3">
      <c r="A74">
        <f>Services!A74</f>
        <v>0</v>
      </c>
    </row>
    <row r="75" spans="1:1" x14ac:dyDescent="0.3">
      <c r="A75">
        <f>Services!A75</f>
        <v>0</v>
      </c>
    </row>
    <row r="76" spans="1:1" x14ac:dyDescent="0.3">
      <c r="A76">
        <f>Services!A76</f>
        <v>0</v>
      </c>
    </row>
    <row r="77" spans="1:1" x14ac:dyDescent="0.3">
      <c r="A77">
        <f>Services!A77</f>
        <v>0</v>
      </c>
    </row>
    <row r="78" spans="1:1" x14ac:dyDescent="0.3">
      <c r="A78">
        <f>Services!A78</f>
        <v>0</v>
      </c>
    </row>
    <row r="79" spans="1:1" x14ac:dyDescent="0.3">
      <c r="A79">
        <f>Services!A79</f>
        <v>0</v>
      </c>
    </row>
    <row r="80" spans="1:1" x14ac:dyDescent="0.3">
      <c r="A80">
        <f>Services!A80</f>
        <v>0</v>
      </c>
    </row>
    <row r="81" spans="1:1" x14ac:dyDescent="0.3">
      <c r="A81">
        <f>Services!A81</f>
        <v>0</v>
      </c>
    </row>
    <row r="82" spans="1:1" x14ac:dyDescent="0.3">
      <c r="A82">
        <f>Services!A82</f>
        <v>0</v>
      </c>
    </row>
    <row r="83" spans="1:1" x14ac:dyDescent="0.3">
      <c r="A83">
        <f>Services!A83</f>
        <v>0</v>
      </c>
    </row>
    <row r="84" spans="1:1" x14ac:dyDescent="0.3">
      <c r="A84">
        <f>Services!A84</f>
        <v>0</v>
      </c>
    </row>
    <row r="85" spans="1:1" x14ac:dyDescent="0.3">
      <c r="A85">
        <f>Services!A85</f>
        <v>0</v>
      </c>
    </row>
    <row r="86" spans="1:1" x14ac:dyDescent="0.3">
      <c r="A86">
        <f>Services!A86</f>
        <v>0</v>
      </c>
    </row>
    <row r="87" spans="1:1" x14ac:dyDescent="0.3">
      <c r="A87">
        <f>Services!A87</f>
        <v>0</v>
      </c>
    </row>
    <row r="88" spans="1:1" x14ac:dyDescent="0.3">
      <c r="A88">
        <f>Services!A88</f>
        <v>0</v>
      </c>
    </row>
    <row r="89" spans="1:1" x14ac:dyDescent="0.3">
      <c r="A89">
        <f>Services!A89</f>
        <v>0</v>
      </c>
    </row>
    <row r="90" spans="1:1" x14ac:dyDescent="0.3">
      <c r="A90">
        <f>Services!A90</f>
        <v>0</v>
      </c>
    </row>
    <row r="91" spans="1:1" x14ac:dyDescent="0.3">
      <c r="A91">
        <f>Services!A91</f>
        <v>0</v>
      </c>
    </row>
    <row r="92" spans="1:1" x14ac:dyDescent="0.3">
      <c r="A92">
        <f>Services!A92</f>
        <v>0</v>
      </c>
    </row>
    <row r="93" spans="1:1" x14ac:dyDescent="0.3">
      <c r="A93">
        <f>Services!A93</f>
        <v>0</v>
      </c>
    </row>
    <row r="94" spans="1:1" x14ac:dyDescent="0.3">
      <c r="A94">
        <f>Services!A94</f>
        <v>0</v>
      </c>
    </row>
    <row r="95" spans="1:1" x14ac:dyDescent="0.3">
      <c r="A95">
        <f>Services!A95</f>
        <v>0</v>
      </c>
    </row>
    <row r="96" spans="1:1" x14ac:dyDescent="0.3">
      <c r="A96">
        <f>Services!A96</f>
        <v>0</v>
      </c>
    </row>
    <row r="97" spans="1:1" x14ac:dyDescent="0.3">
      <c r="A97">
        <f>Services!A97</f>
        <v>0</v>
      </c>
    </row>
    <row r="98" spans="1:1" x14ac:dyDescent="0.3">
      <c r="A98">
        <f>Services!A98</f>
        <v>0</v>
      </c>
    </row>
    <row r="99" spans="1:1" x14ac:dyDescent="0.3">
      <c r="A99">
        <f>Services!A99</f>
        <v>0</v>
      </c>
    </row>
    <row r="100" spans="1:1" x14ac:dyDescent="0.3">
      <c r="A100">
        <f>Services!A100</f>
        <v>0</v>
      </c>
    </row>
    <row r="101" spans="1:1" x14ac:dyDescent="0.3">
      <c r="A101">
        <f>Services!A101</f>
        <v>0</v>
      </c>
    </row>
    <row r="102" spans="1:1" x14ac:dyDescent="0.3">
      <c r="A102">
        <f>Services!A102</f>
        <v>0</v>
      </c>
    </row>
    <row r="103" spans="1:1" x14ac:dyDescent="0.3">
      <c r="A103">
        <f>Services!A103</f>
        <v>0</v>
      </c>
    </row>
    <row r="104" spans="1:1" x14ac:dyDescent="0.3">
      <c r="A104">
        <f>Services!A104</f>
        <v>0</v>
      </c>
    </row>
    <row r="105" spans="1:1" x14ac:dyDescent="0.3">
      <c r="A105">
        <f>Services!A105</f>
        <v>0</v>
      </c>
    </row>
    <row r="106" spans="1:1" x14ac:dyDescent="0.3">
      <c r="A106">
        <f>Services!A106</f>
        <v>0</v>
      </c>
    </row>
    <row r="107" spans="1:1" x14ac:dyDescent="0.3">
      <c r="A107">
        <f>Services!A107</f>
        <v>0</v>
      </c>
    </row>
    <row r="108" spans="1:1" x14ac:dyDescent="0.3">
      <c r="A108">
        <f>Services!A108</f>
        <v>0</v>
      </c>
    </row>
    <row r="109" spans="1:1" x14ac:dyDescent="0.3">
      <c r="A109">
        <f>Services!A109</f>
        <v>0</v>
      </c>
    </row>
    <row r="110" spans="1:1" x14ac:dyDescent="0.3">
      <c r="A110">
        <f>Services!A110</f>
        <v>0</v>
      </c>
    </row>
    <row r="111" spans="1:1" x14ac:dyDescent="0.3">
      <c r="A111">
        <f>Services!A111</f>
        <v>0</v>
      </c>
    </row>
    <row r="112" spans="1:1" x14ac:dyDescent="0.3">
      <c r="A112">
        <f>Services!A112</f>
        <v>0</v>
      </c>
    </row>
    <row r="113" spans="1:1" x14ac:dyDescent="0.3">
      <c r="A113">
        <f>Services!A113</f>
        <v>0</v>
      </c>
    </row>
    <row r="114" spans="1:1" x14ac:dyDescent="0.3">
      <c r="A114">
        <f>Services!A114</f>
        <v>0</v>
      </c>
    </row>
    <row r="115" spans="1:1" x14ac:dyDescent="0.3">
      <c r="A115">
        <f>Services!A115</f>
        <v>0</v>
      </c>
    </row>
    <row r="116" spans="1:1" x14ac:dyDescent="0.3">
      <c r="A116">
        <f>Services!A116</f>
        <v>0</v>
      </c>
    </row>
    <row r="117" spans="1:1" x14ac:dyDescent="0.3">
      <c r="A117">
        <f>Services!A117</f>
        <v>0</v>
      </c>
    </row>
    <row r="118" spans="1:1" x14ac:dyDescent="0.3">
      <c r="A118">
        <f>Services!A118</f>
        <v>0</v>
      </c>
    </row>
    <row r="119" spans="1:1" x14ac:dyDescent="0.3">
      <c r="A119">
        <f>Services!A119</f>
        <v>0</v>
      </c>
    </row>
    <row r="120" spans="1:1" x14ac:dyDescent="0.3">
      <c r="A120">
        <f>Services!A120</f>
        <v>0</v>
      </c>
    </row>
    <row r="121" spans="1:1" x14ac:dyDescent="0.3">
      <c r="A121">
        <f>Services!A121</f>
        <v>0</v>
      </c>
    </row>
    <row r="122" spans="1:1" x14ac:dyDescent="0.3">
      <c r="A122">
        <f>Services!A122</f>
        <v>0</v>
      </c>
    </row>
    <row r="123" spans="1:1" x14ac:dyDescent="0.3">
      <c r="A123">
        <f>Services!A123</f>
        <v>0</v>
      </c>
    </row>
    <row r="124" spans="1:1" x14ac:dyDescent="0.3">
      <c r="A124">
        <f>Services!A124</f>
        <v>0</v>
      </c>
    </row>
    <row r="125" spans="1:1" x14ac:dyDescent="0.3">
      <c r="A125">
        <f>Services!A125</f>
        <v>0</v>
      </c>
    </row>
    <row r="126" spans="1:1" x14ac:dyDescent="0.3">
      <c r="A126">
        <f>Services!A126</f>
        <v>0</v>
      </c>
    </row>
    <row r="127" spans="1:1" x14ac:dyDescent="0.3">
      <c r="A127">
        <f>Services!A127</f>
        <v>0</v>
      </c>
    </row>
    <row r="128" spans="1:1" x14ac:dyDescent="0.3">
      <c r="A128">
        <f>Services!A128</f>
        <v>0</v>
      </c>
    </row>
    <row r="129" spans="1:1" x14ac:dyDescent="0.3">
      <c r="A129">
        <f>Services!A129</f>
        <v>0</v>
      </c>
    </row>
    <row r="130" spans="1:1" x14ac:dyDescent="0.3">
      <c r="A130">
        <f>Services!A130</f>
        <v>0</v>
      </c>
    </row>
    <row r="131" spans="1:1" x14ac:dyDescent="0.3">
      <c r="A131">
        <f>Services!A131</f>
        <v>0</v>
      </c>
    </row>
    <row r="132" spans="1:1" x14ac:dyDescent="0.3">
      <c r="A132">
        <f>Services!A132</f>
        <v>0</v>
      </c>
    </row>
    <row r="133" spans="1:1" x14ac:dyDescent="0.3">
      <c r="A133">
        <f>Services!A133</f>
        <v>0</v>
      </c>
    </row>
    <row r="134" spans="1:1" x14ac:dyDescent="0.3">
      <c r="A134">
        <f>Services!A134</f>
        <v>0</v>
      </c>
    </row>
    <row r="135" spans="1:1" x14ac:dyDescent="0.3">
      <c r="A135">
        <f>Services!A135</f>
        <v>0</v>
      </c>
    </row>
    <row r="136" spans="1:1" x14ac:dyDescent="0.3">
      <c r="A136">
        <f>Services!A136</f>
        <v>0</v>
      </c>
    </row>
    <row r="137" spans="1:1" x14ac:dyDescent="0.3">
      <c r="A137">
        <f>Services!A137</f>
        <v>0</v>
      </c>
    </row>
    <row r="138" spans="1:1" x14ac:dyDescent="0.3">
      <c r="A138">
        <f>Services!A138</f>
        <v>0</v>
      </c>
    </row>
    <row r="139" spans="1:1" x14ac:dyDescent="0.3">
      <c r="A139">
        <f>Services!A139</f>
        <v>0</v>
      </c>
    </row>
    <row r="140" spans="1:1" x14ac:dyDescent="0.3">
      <c r="A140">
        <f>Services!A140</f>
        <v>0</v>
      </c>
    </row>
    <row r="141" spans="1:1" x14ac:dyDescent="0.3">
      <c r="A141">
        <f>Services!A141</f>
        <v>0</v>
      </c>
    </row>
    <row r="142" spans="1:1" x14ac:dyDescent="0.3">
      <c r="A142">
        <f>Services!A142</f>
        <v>0</v>
      </c>
    </row>
    <row r="143" spans="1:1" x14ac:dyDescent="0.3">
      <c r="A143">
        <f>Services!A143</f>
        <v>0</v>
      </c>
    </row>
    <row r="144" spans="1:1" x14ac:dyDescent="0.3">
      <c r="A144">
        <f>Services!A144</f>
        <v>0</v>
      </c>
    </row>
    <row r="145" spans="1:1" x14ac:dyDescent="0.3">
      <c r="A145">
        <f>Services!A145</f>
        <v>0</v>
      </c>
    </row>
    <row r="146" spans="1:1" x14ac:dyDescent="0.3">
      <c r="A146">
        <f>Services!A146</f>
        <v>0</v>
      </c>
    </row>
    <row r="147" spans="1:1" x14ac:dyDescent="0.3">
      <c r="A147">
        <f>Services!A147</f>
        <v>0</v>
      </c>
    </row>
    <row r="148" spans="1:1" x14ac:dyDescent="0.3">
      <c r="A148">
        <f>Services!A148</f>
        <v>0</v>
      </c>
    </row>
    <row r="149" spans="1:1" x14ac:dyDescent="0.3">
      <c r="A149">
        <f>Services!A149</f>
        <v>0</v>
      </c>
    </row>
    <row r="150" spans="1:1" x14ac:dyDescent="0.3">
      <c r="A150">
        <f>Services!A150</f>
        <v>0</v>
      </c>
    </row>
    <row r="151" spans="1:1" x14ac:dyDescent="0.3">
      <c r="A151">
        <f>Services!A151</f>
        <v>0</v>
      </c>
    </row>
    <row r="152" spans="1:1" x14ac:dyDescent="0.3">
      <c r="A152">
        <f>Services!A152</f>
        <v>0</v>
      </c>
    </row>
    <row r="153" spans="1:1" x14ac:dyDescent="0.3">
      <c r="A153">
        <f>Services!A153</f>
        <v>0</v>
      </c>
    </row>
    <row r="154" spans="1:1" x14ac:dyDescent="0.3">
      <c r="A154">
        <f>Services!A154</f>
        <v>0</v>
      </c>
    </row>
    <row r="155" spans="1:1" x14ac:dyDescent="0.3">
      <c r="A155">
        <f>Services!A155</f>
        <v>0</v>
      </c>
    </row>
    <row r="156" spans="1:1" x14ac:dyDescent="0.3">
      <c r="A156">
        <f>Services!A156</f>
        <v>0</v>
      </c>
    </row>
    <row r="157" spans="1:1" x14ac:dyDescent="0.3">
      <c r="A157">
        <f>Services!A157</f>
        <v>0</v>
      </c>
    </row>
    <row r="158" spans="1:1" x14ac:dyDescent="0.3">
      <c r="A158">
        <f>Services!A158</f>
        <v>0</v>
      </c>
    </row>
    <row r="159" spans="1:1" x14ac:dyDescent="0.3">
      <c r="A159">
        <f>Services!A159</f>
        <v>0</v>
      </c>
    </row>
    <row r="160" spans="1:1" x14ac:dyDescent="0.3">
      <c r="A160">
        <f>Services!A160</f>
        <v>0</v>
      </c>
    </row>
    <row r="161" spans="1:1" x14ac:dyDescent="0.3">
      <c r="A161">
        <f>Services!A161</f>
        <v>0</v>
      </c>
    </row>
    <row r="162" spans="1:1" x14ac:dyDescent="0.3">
      <c r="A162">
        <f>Services!A162</f>
        <v>0</v>
      </c>
    </row>
    <row r="163" spans="1:1" x14ac:dyDescent="0.3">
      <c r="A163">
        <f>Services!A163</f>
        <v>0</v>
      </c>
    </row>
    <row r="164" spans="1:1" x14ac:dyDescent="0.3">
      <c r="A164">
        <f>Services!A164</f>
        <v>0</v>
      </c>
    </row>
    <row r="165" spans="1:1" x14ac:dyDescent="0.3">
      <c r="A165">
        <f>Services!A165</f>
        <v>0</v>
      </c>
    </row>
    <row r="166" spans="1:1" x14ac:dyDescent="0.3">
      <c r="A166">
        <f>Services!A166</f>
        <v>0</v>
      </c>
    </row>
    <row r="167" spans="1:1" x14ac:dyDescent="0.3">
      <c r="A167">
        <f>Services!A167</f>
        <v>0</v>
      </c>
    </row>
    <row r="168" spans="1:1" x14ac:dyDescent="0.3">
      <c r="A168">
        <f>Services!A168</f>
        <v>0</v>
      </c>
    </row>
    <row r="169" spans="1:1" x14ac:dyDescent="0.3">
      <c r="A169">
        <f>Services!A169</f>
        <v>0</v>
      </c>
    </row>
    <row r="170" spans="1:1" x14ac:dyDescent="0.3">
      <c r="A170">
        <f>Services!A170</f>
        <v>0</v>
      </c>
    </row>
    <row r="171" spans="1:1" x14ac:dyDescent="0.3">
      <c r="A171">
        <f>Services!A171</f>
        <v>0</v>
      </c>
    </row>
    <row r="172" spans="1:1" x14ac:dyDescent="0.3">
      <c r="A172">
        <f>Services!A172</f>
        <v>0</v>
      </c>
    </row>
    <row r="173" spans="1:1" x14ac:dyDescent="0.3">
      <c r="A173">
        <f>Services!A173</f>
        <v>0</v>
      </c>
    </row>
    <row r="174" spans="1:1" x14ac:dyDescent="0.3">
      <c r="A174">
        <f>Services!A174</f>
        <v>0</v>
      </c>
    </row>
    <row r="175" spans="1:1" x14ac:dyDescent="0.3">
      <c r="A175">
        <f>Services!A175</f>
        <v>0</v>
      </c>
    </row>
    <row r="176" spans="1:1" x14ac:dyDescent="0.3">
      <c r="A176">
        <f>Services!A176</f>
        <v>0</v>
      </c>
    </row>
    <row r="177" spans="1:1" x14ac:dyDescent="0.3">
      <c r="A177">
        <f>Services!A177</f>
        <v>0</v>
      </c>
    </row>
    <row r="178" spans="1:1" x14ac:dyDescent="0.3">
      <c r="A178">
        <f>Services!A178</f>
        <v>0</v>
      </c>
    </row>
    <row r="179" spans="1:1" x14ac:dyDescent="0.3">
      <c r="A179">
        <f>Services!A179</f>
        <v>0</v>
      </c>
    </row>
    <row r="180" spans="1:1" x14ac:dyDescent="0.3">
      <c r="A180">
        <f>Services!A180</f>
        <v>0</v>
      </c>
    </row>
    <row r="181" spans="1:1" x14ac:dyDescent="0.3">
      <c r="A181">
        <f>Services!A181</f>
        <v>0</v>
      </c>
    </row>
    <row r="182" spans="1:1" x14ac:dyDescent="0.3">
      <c r="A182">
        <f>Services!A182</f>
        <v>0</v>
      </c>
    </row>
    <row r="183" spans="1:1" x14ac:dyDescent="0.3">
      <c r="A183">
        <f>Services!A183</f>
        <v>0</v>
      </c>
    </row>
    <row r="184" spans="1:1" x14ac:dyDescent="0.3">
      <c r="A184">
        <f>Services!A184</f>
        <v>0</v>
      </c>
    </row>
    <row r="185" spans="1:1" x14ac:dyDescent="0.3">
      <c r="A185">
        <f>Services!A185</f>
        <v>0</v>
      </c>
    </row>
    <row r="186" spans="1:1" x14ac:dyDescent="0.3">
      <c r="A186">
        <f>Services!A186</f>
        <v>0</v>
      </c>
    </row>
    <row r="187" spans="1:1" x14ac:dyDescent="0.3">
      <c r="A187">
        <f>Services!A187</f>
        <v>0</v>
      </c>
    </row>
    <row r="188" spans="1:1" x14ac:dyDescent="0.3">
      <c r="A188">
        <f>Services!A188</f>
        <v>0</v>
      </c>
    </row>
    <row r="189" spans="1:1" x14ac:dyDescent="0.3">
      <c r="A189">
        <f>Services!A189</f>
        <v>0</v>
      </c>
    </row>
    <row r="190" spans="1:1" x14ac:dyDescent="0.3">
      <c r="A190">
        <f>Services!A190</f>
        <v>0</v>
      </c>
    </row>
    <row r="191" spans="1:1" x14ac:dyDescent="0.3">
      <c r="A191">
        <f>Services!A191</f>
        <v>0</v>
      </c>
    </row>
    <row r="192" spans="1:1" x14ac:dyDescent="0.3">
      <c r="A192">
        <f>Services!A192</f>
        <v>0</v>
      </c>
    </row>
    <row r="193" spans="1:1" x14ac:dyDescent="0.3">
      <c r="A193">
        <f>Services!A193</f>
        <v>0</v>
      </c>
    </row>
    <row r="194" spans="1:1" x14ac:dyDescent="0.3">
      <c r="A194">
        <f>Services!A194</f>
        <v>0</v>
      </c>
    </row>
    <row r="195" spans="1:1" x14ac:dyDescent="0.3">
      <c r="A195">
        <f>Services!A195</f>
        <v>0</v>
      </c>
    </row>
    <row r="196" spans="1:1" x14ac:dyDescent="0.3">
      <c r="A196">
        <f>Services!A196</f>
        <v>0</v>
      </c>
    </row>
    <row r="197" spans="1:1" x14ac:dyDescent="0.3">
      <c r="A197">
        <f>Services!A197</f>
        <v>0</v>
      </c>
    </row>
    <row r="198" spans="1:1" x14ac:dyDescent="0.3">
      <c r="A198">
        <f>Services!A198</f>
        <v>0</v>
      </c>
    </row>
    <row r="199" spans="1:1" x14ac:dyDescent="0.3">
      <c r="A199">
        <f>Services!A199</f>
        <v>0</v>
      </c>
    </row>
    <row r="200" spans="1:1" x14ac:dyDescent="0.3">
      <c r="A200">
        <f>Services!A200</f>
        <v>0</v>
      </c>
    </row>
    <row r="201" spans="1:1" x14ac:dyDescent="0.3">
      <c r="A201">
        <f>Services!A201</f>
        <v>0</v>
      </c>
    </row>
    <row r="202" spans="1:1" x14ac:dyDescent="0.3">
      <c r="A202">
        <f>Services!A202</f>
        <v>0</v>
      </c>
    </row>
    <row r="203" spans="1:1" x14ac:dyDescent="0.3">
      <c r="A203">
        <f>Services!A203</f>
        <v>0</v>
      </c>
    </row>
    <row r="204" spans="1:1" x14ac:dyDescent="0.3">
      <c r="A204">
        <f>Services!A204</f>
        <v>0</v>
      </c>
    </row>
    <row r="205" spans="1:1" x14ac:dyDescent="0.3">
      <c r="A205">
        <f>Services!A205</f>
        <v>0</v>
      </c>
    </row>
    <row r="206" spans="1:1" x14ac:dyDescent="0.3">
      <c r="A206">
        <f>Services!A206</f>
        <v>0</v>
      </c>
    </row>
    <row r="207" spans="1:1" x14ac:dyDescent="0.3">
      <c r="A207">
        <f>Services!A207</f>
        <v>0</v>
      </c>
    </row>
    <row r="208" spans="1:1" x14ac:dyDescent="0.3">
      <c r="A208">
        <f>Services!A208</f>
        <v>0</v>
      </c>
    </row>
    <row r="209" spans="1:1" x14ac:dyDescent="0.3">
      <c r="A209">
        <f>Services!A209</f>
        <v>0</v>
      </c>
    </row>
    <row r="210" spans="1:1" x14ac:dyDescent="0.3">
      <c r="A210">
        <f>Services!A210</f>
        <v>0</v>
      </c>
    </row>
    <row r="211" spans="1:1" x14ac:dyDescent="0.3">
      <c r="A211">
        <f>Services!A211</f>
        <v>0</v>
      </c>
    </row>
    <row r="212" spans="1:1" x14ac:dyDescent="0.3">
      <c r="A212">
        <f>Services!A212</f>
        <v>0</v>
      </c>
    </row>
    <row r="213" spans="1:1" x14ac:dyDescent="0.3">
      <c r="A213">
        <f>Services!A213</f>
        <v>0</v>
      </c>
    </row>
    <row r="214" spans="1:1" x14ac:dyDescent="0.3">
      <c r="A214">
        <f>Services!A214</f>
        <v>0</v>
      </c>
    </row>
    <row r="215" spans="1:1" x14ac:dyDescent="0.3">
      <c r="A215">
        <f>Services!A215</f>
        <v>0</v>
      </c>
    </row>
    <row r="216" spans="1:1" x14ac:dyDescent="0.3">
      <c r="A216">
        <f>Services!A216</f>
        <v>0</v>
      </c>
    </row>
    <row r="217" spans="1:1" x14ac:dyDescent="0.3">
      <c r="A217">
        <f>Services!A217</f>
        <v>0</v>
      </c>
    </row>
    <row r="218" spans="1:1" x14ac:dyDescent="0.3">
      <c r="A218">
        <f>Services!A218</f>
        <v>0</v>
      </c>
    </row>
    <row r="219" spans="1:1" x14ac:dyDescent="0.3">
      <c r="A219">
        <f>Services!A219</f>
        <v>0</v>
      </c>
    </row>
    <row r="220" spans="1:1" x14ac:dyDescent="0.3">
      <c r="A220">
        <f>Services!A220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7567-29A3-42FC-B838-A1071DC74FC8}">
  <sheetPr codeName="Sheet2">
    <tabColor rgb="FFFFFF00"/>
  </sheetPr>
  <dimension ref="A1:AE56"/>
  <sheetViews>
    <sheetView zoomScale="80" zoomScaleNormal="80" workbookViewId="0">
      <selection activeCell="V36" sqref="V36"/>
    </sheetView>
  </sheetViews>
  <sheetFormatPr defaultRowHeight="14.4" x14ac:dyDescent="0.3"/>
  <cols>
    <col min="1" max="1" width="82" bestFit="1" customWidth="1"/>
    <col min="2" max="2" width="9.5546875" bestFit="1" customWidth="1"/>
    <col min="3" max="3" width="10" bestFit="1" customWidth="1"/>
    <col min="4" max="4" width="9.88671875" bestFit="1" customWidth="1"/>
    <col min="5" max="5" width="9.33203125" bestFit="1" customWidth="1"/>
    <col min="6" max="6" width="9.5546875" bestFit="1" customWidth="1"/>
    <col min="7" max="7" width="9.88671875" bestFit="1" customWidth="1"/>
    <col min="8" max="8" width="9.6640625" bestFit="1" customWidth="1"/>
    <col min="9" max="9" width="9.88671875" bestFit="1" customWidth="1"/>
    <col min="10" max="10" width="10" bestFit="1" customWidth="1"/>
    <col min="11" max="12" width="9.44140625" bestFit="1" customWidth="1"/>
    <col min="13" max="13" width="11.33203125" bestFit="1" customWidth="1"/>
    <col min="14" max="14" width="12" bestFit="1" customWidth="1"/>
    <col min="15" max="15" width="9.6640625" bestFit="1" customWidth="1"/>
    <col min="16" max="16" width="10" bestFit="1" customWidth="1"/>
    <col min="17" max="17" width="9.6640625" bestFit="1" customWidth="1"/>
    <col min="18" max="18" width="11" bestFit="1" customWidth="1"/>
    <col min="19" max="19" width="24.33203125" bestFit="1" customWidth="1"/>
    <col min="20" max="20" width="21.5546875" bestFit="1" customWidth="1"/>
    <col min="21" max="21" width="9.6640625" bestFit="1" customWidth="1"/>
    <col min="22" max="22" width="21.33203125" bestFit="1" customWidth="1"/>
    <col min="23" max="23" width="10" customWidth="1"/>
    <col min="24" max="24" width="11.6640625" bestFit="1" customWidth="1"/>
    <col min="25" max="25" width="9.5546875" bestFit="1" customWidth="1"/>
    <col min="26" max="26" width="10" customWidth="1"/>
    <col min="27" max="27" width="9.109375" bestFit="1" customWidth="1"/>
    <col min="28" max="28" width="9.44140625" bestFit="1" customWidth="1"/>
    <col min="29" max="29" width="23.44140625" bestFit="1" customWidth="1"/>
    <col min="30" max="30" width="15.5546875" bestFit="1" customWidth="1"/>
    <col min="31" max="31" width="9.33203125" bestFit="1" customWidth="1"/>
  </cols>
  <sheetData>
    <row r="1" spans="1:31" x14ac:dyDescent="0.3">
      <c r="L1">
        <v>50</v>
      </c>
    </row>
    <row r="2" spans="1:31" s="34" customFormat="1" ht="72" customHeight="1" x14ac:dyDescent="0.3">
      <c r="B2" s="34" t="str">
        <f>'Hazard information'!E2</f>
        <v>Occurred in the past</v>
      </c>
      <c r="C2" s="34" t="str">
        <f>'Hazard information'!G2</f>
        <v xml:space="preserve">Is the frequency </v>
      </c>
      <c r="D2" s="34" t="str">
        <f>'Hazard information'!I2</f>
        <v>Duration of hazard</v>
      </c>
      <c r="E2" s="34" t="str">
        <f>'Hazard information'!K2</f>
        <v>Area of Impact of hazard</v>
      </c>
      <c r="F2" s="34" t="str">
        <f>'Hazard information'!M2</f>
        <v>Impact on People</v>
      </c>
      <c r="G2" s="34" t="str">
        <f>'Hazard information'!O2</f>
        <v>Impact on infrastucture</v>
      </c>
      <c r="H2" s="34" t="str">
        <f>'Hazard information'!Q2</f>
        <v>Impact on environment</v>
      </c>
      <c r="I2" s="34" t="str">
        <f>'Hazard information'!S2</f>
        <v>Impact on economy</v>
      </c>
      <c r="J2" s="34" t="str">
        <f>'Hazard information'!U2</f>
        <v>Predictability</v>
      </c>
      <c r="K2" s="34" t="str">
        <f>'Hazard information'!W2</f>
        <v>Priority / Urgency</v>
      </c>
      <c r="L2" s="35" t="s">
        <v>24</v>
      </c>
      <c r="M2" s="34" t="str">
        <f>'Hazard information'!Y2</f>
        <v>Human Resources</v>
      </c>
      <c r="N2" s="34" t="str">
        <f>'Hazard information'!AA2</f>
        <v>Experience &amp; Special knowledge</v>
      </c>
      <c r="O2" s="34" t="str">
        <f>'Hazard information'!AC2</f>
        <v>Vehicles</v>
      </c>
      <c r="P2" s="34" t="str">
        <f>'Hazard information'!AE2</f>
        <v>Equipment</v>
      </c>
      <c r="Q2" s="34" t="str">
        <f>'Hazard information'!AG2</f>
        <v>Funding</v>
      </c>
      <c r="R2" s="34" t="str">
        <f>'Hazard information'!AI2</f>
        <v>Facilities / Buildings</v>
      </c>
      <c r="S2" s="34" t="str">
        <f>'Hazard information'!AK2</f>
        <v>Prevention, Mitigation &amp; Risk Reduction Plans, Policies &amp; Programmes</v>
      </c>
      <c r="T2" s="34" t="str">
        <f>'Hazard information'!AM2</f>
        <v>Response &amp; Recovery Plans, Policies &amp; Programmes</v>
      </c>
      <c r="U2" s="35" t="s">
        <v>22</v>
      </c>
      <c r="V2" s="36" t="str">
        <f>'Hazard information'!AO2</f>
        <v>Other Services dealing with hazard</v>
      </c>
      <c r="W2" s="34" t="str">
        <f>'Hazard information'!AP2</f>
        <v>Staff / Human Resources</v>
      </c>
      <c r="X2" s="34" t="str">
        <f>'Hazard information'!AR2</f>
        <v>Experience &amp; Special knowledge</v>
      </c>
      <c r="Y2" s="34" t="str">
        <f>'Hazard information'!AT2</f>
        <v>Vehicles</v>
      </c>
      <c r="Z2" s="34" t="str">
        <f>'Hazard information'!AV2</f>
        <v>Equipment</v>
      </c>
      <c r="AA2" s="34" t="str">
        <f>'Hazard information'!AX2</f>
        <v>Funding</v>
      </c>
      <c r="AB2" s="34" t="str">
        <f>'Hazard information'!AZ2</f>
        <v>Facilities / Buildings</v>
      </c>
      <c r="AC2" s="34" t="str">
        <f>'Hazard information'!BB2</f>
        <v>Prevention, Mitigation &amp; Risk Reduction Plans, Policies &amp; Programmes</v>
      </c>
      <c r="AD2" s="34" t="str">
        <f>'Hazard information'!BD2</f>
        <v>Response &amp; Recovery Plans, Policies &amp; Programmes</v>
      </c>
      <c r="AE2" s="35" t="s">
        <v>23</v>
      </c>
    </row>
    <row r="3" spans="1:31" x14ac:dyDescent="0.3">
      <c r="A3" t="str">
        <f>'Hazard information'!A4</f>
        <v>Civil Unrest - Crime</v>
      </c>
      <c r="B3">
        <f>'Hazard information'!F4</f>
        <v>0</v>
      </c>
      <c r="C3">
        <f>'Hazard information'!H4</f>
        <v>0</v>
      </c>
      <c r="D3" t="e">
        <f>'Hazard information'!J4</f>
        <v>#N/A</v>
      </c>
      <c r="E3" t="e">
        <f>'Hazard information'!L4</f>
        <v>#N/A</v>
      </c>
      <c r="F3">
        <f>'Hazard information'!N4</f>
        <v>0</v>
      </c>
      <c r="G3">
        <f>'Hazard information'!P4</f>
        <v>0</v>
      </c>
      <c r="H3">
        <f>'Hazard information'!R4</f>
        <v>0</v>
      </c>
      <c r="I3">
        <f>'Hazard information'!T4</f>
        <v>0</v>
      </c>
      <c r="J3">
        <f>'Hazard information'!V4</f>
        <v>0</v>
      </c>
      <c r="K3">
        <f>'Hazard information'!X4</f>
        <v>0</v>
      </c>
      <c r="L3" s="37" t="e">
        <f>SUM(B3:K3)</f>
        <v>#N/A</v>
      </c>
      <c r="M3">
        <f>'Hazard information'!Z4</f>
        <v>0</v>
      </c>
      <c r="N3">
        <f>'Hazard information'!AB4</f>
        <v>0</v>
      </c>
      <c r="O3">
        <f>'Hazard information'!AD4</f>
        <v>0</v>
      </c>
      <c r="P3">
        <f>'Hazard information'!AF4</f>
        <v>0</v>
      </c>
      <c r="Q3">
        <f>'Hazard information'!AH4</f>
        <v>0</v>
      </c>
      <c r="R3">
        <f>'Hazard information'!AJ4</f>
        <v>0</v>
      </c>
      <c r="S3">
        <f>'Hazard information'!AL4</f>
        <v>0</v>
      </c>
      <c r="T3">
        <f>'Hazard information'!AN4</f>
        <v>0</v>
      </c>
      <c r="U3" s="37">
        <f t="shared" ref="U3:U56" si="0">SUM(M3:T3)</f>
        <v>0</v>
      </c>
      <c r="V3" s="38">
        <f>'Hazard information'!AO4</f>
        <v>0</v>
      </c>
      <c r="W3">
        <f>'Hazard information'!AQ4</f>
        <v>0</v>
      </c>
      <c r="X3">
        <f>'Hazard information'!AS4</f>
        <v>0</v>
      </c>
      <c r="Y3">
        <f>'Hazard information'!AU4</f>
        <v>0</v>
      </c>
      <c r="Z3">
        <f>'Hazard information'!AW4</f>
        <v>0</v>
      </c>
      <c r="AA3">
        <f>'Hazard information'!AY4</f>
        <v>0</v>
      </c>
      <c r="AB3">
        <f>'Hazard information'!BA4</f>
        <v>0</v>
      </c>
      <c r="AC3">
        <f>'Hazard information'!BC4</f>
        <v>0</v>
      </c>
      <c r="AD3">
        <f>'Hazard information'!BE4</f>
        <v>0</v>
      </c>
      <c r="AE3" s="37">
        <f t="shared" ref="AE3:AE56" si="1">SUM(W3:AD3)</f>
        <v>0</v>
      </c>
    </row>
    <row r="4" spans="1:31" x14ac:dyDescent="0.3">
      <c r="A4" t="str">
        <f>'Hazard information'!A9</f>
        <v>Disease / Health - Disease: Animal</v>
      </c>
      <c r="B4">
        <f>'Hazard information'!F9</f>
        <v>0</v>
      </c>
      <c r="C4">
        <f>'Hazard information'!H9</f>
        <v>0</v>
      </c>
      <c r="D4" t="e">
        <f>'Hazard information'!J9</f>
        <v>#N/A</v>
      </c>
      <c r="E4" t="e">
        <f>'Hazard information'!L9</f>
        <v>#N/A</v>
      </c>
      <c r="F4">
        <f>'Hazard information'!N9</f>
        <v>0</v>
      </c>
      <c r="G4">
        <f>'Hazard information'!P9</f>
        <v>0</v>
      </c>
      <c r="H4">
        <f>'Hazard information'!R9</f>
        <v>0</v>
      </c>
      <c r="I4">
        <f>'Hazard information'!T9</f>
        <v>0</v>
      </c>
      <c r="J4">
        <f>'Hazard information'!V9</f>
        <v>0</v>
      </c>
      <c r="K4">
        <f>'Hazard information'!X9</f>
        <v>0</v>
      </c>
      <c r="L4" s="37" t="e">
        <f t="shared" ref="L4:L56" si="2">SUM(B4:K4)</f>
        <v>#N/A</v>
      </c>
      <c r="M4">
        <f>'Hazard information'!Z9</f>
        <v>0</v>
      </c>
      <c r="N4">
        <f>'Hazard information'!AB9</f>
        <v>0</v>
      </c>
      <c r="O4">
        <f>'Hazard information'!AD9</f>
        <v>0</v>
      </c>
      <c r="P4">
        <f>'Hazard information'!AF9</f>
        <v>0</v>
      </c>
      <c r="Q4">
        <f>'Hazard information'!AH9</f>
        <v>0</v>
      </c>
      <c r="R4">
        <f>'Hazard information'!AJ9</f>
        <v>0</v>
      </c>
      <c r="S4">
        <f>'Hazard information'!AL9</f>
        <v>0</v>
      </c>
      <c r="T4">
        <f>'Hazard information'!AN9</f>
        <v>0</v>
      </c>
      <c r="U4" s="37">
        <f t="shared" si="0"/>
        <v>0</v>
      </c>
      <c r="V4" s="38">
        <f>'Hazard information'!AO9</f>
        <v>0</v>
      </c>
      <c r="W4">
        <f>'Hazard information'!AQ9</f>
        <v>0</v>
      </c>
      <c r="X4">
        <f>'Hazard information'!AS9</f>
        <v>0</v>
      </c>
      <c r="Y4">
        <f>'Hazard information'!AU9</f>
        <v>0</v>
      </c>
      <c r="Z4">
        <f>'Hazard information'!AW9</f>
        <v>0</v>
      </c>
      <c r="AA4">
        <f>'Hazard information'!AY9</f>
        <v>0</v>
      </c>
      <c r="AB4">
        <f>'Hazard information'!BA9</f>
        <v>0</v>
      </c>
      <c r="AC4">
        <f>'Hazard information'!BC9</f>
        <v>0</v>
      </c>
      <c r="AD4">
        <f>'Hazard information'!BE9</f>
        <v>0</v>
      </c>
      <c r="AE4" s="37">
        <f t="shared" si="1"/>
        <v>0</v>
      </c>
    </row>
    <row r="5" spans="1:31" x14ac:dyDescent="0.3">
      <c r="A5" t="str">
        <f>'Hazard information'!A31</f>
        <v>Infestations - Insect Infestation</v>
      </c>
      <c r="B5">
        <f>'Hazard information'!F31</f>
        <v>0</v>
      </c>
      <c r="C5">
        <f>'Hazard information'!H31</f>
        <v>0</v>
      </c>
      <c r="D5" t="e">
        <f>'Hazard information'!J31</f>
        <v>#N/A</v>
      </c>
      <c r="E5" t="e">
        <f>'Hazard information'!L31</f>
        <v>#N/A</v>
      </c>
      <c r="F5">
        <f>'Hazard information'!N31</f>
        <v>0</v>
      </c>
      <c r="G5">
        <f>'Hazard information'!P31</f>
        <v>0</v>
      </c>
      <c r="H5">
        <f>'Hazard information'!R31</f>
        <v>0</v>
      </c>
      <c r="I5">
        <f>'Hazard information'!T31</f>
        <v>0</v>
      </c>
      <c r="J5">
        <f>'Hazard information'!V31</f>
        <v>0</v>
      </c>
      <c r="K5">
        <f>'Hazard information'!X31</f>
        <v>0</v>
      </c>
      <c r="L5" s="37" t="e">
        <f t="shared" si="2"/>
        <v>#N/A</v>
      </c>
      <c r="M5">
        <f>'Hazard information'!Z31</f>
        <v>0</v>
      </c>
      <c r="N5">
        <f>'Hazard information'!AB31</f>
        <v>0</v>
      </c>
      <c r="O5">
        <f>'Hazard information'!AD31</f>
        <v>0</v>
      </c>
      <c r="P5">
        <f>'Hazard information'!AF31</f>
        <v>0</v>
      </c>
      <c r="Q5">
        <f>'Hazard information'!AH31</f>
        <v>0</v>
      </c>
      <c r="R5">
        <f>'Hazard information'!AJ31</f>
        <v>0</v>
      </c>
      <c r="S5">
        <f>'Hazard information'!AL31</f>
        <v>0</v>
      </c>
      <c r="T5">
        <f>'Hazard information'!AN31</f>
        <v>0</v>
      </c>
      <c r="U5" s="37">
        <f t="shared" si="0"/>
        <v>0</v>
      </c>
      <c r="V5" s="38">
        <f>'Hazard information'!AO31</f>
        <v>0</v>
      </c>
      <c r="W5">
        <f>'Hazard information'!AQ31</f>
        <v>0</v>
      </c>
      <c r="X5">
        <f>'Hazard information'!AS31</f>
        <v>0</v>
      </c>
      <c r="Y5">
        <f>'Hazard information'!AU31</f>
        <v>0</v>
      </c>
      <c r="Z5">
        <f>'Hazard information'!AW31</f>
        <v>0</v>
      </c>
      <c r="AA5">
        <f>'Hazard information'!AY31</f>
        <v>0</v>
      </c>
      <c r="AB5">
        <f>'Hazard information'!BA31</f>
        <v>0</v>
      </c>
      <c r="AC5">
        <f>'Hazard information'!BC31</f>
        <v>0</v>
      </c>
      <c r="AD5">
        <f>'Hazard information'!BE31</f>
        <v>0</v>
      </c>
      <c r="AE5" s="37">
        <f t="shared" si="1"/>
        <v>0</v>
      </c>
    </row>
    <row r="6" spans="1:31" x14ac:dyDescent="0.3">
      <c r="A6" t="str">
        <f>'Hazard information'!A11</f>
        <v>Disease / Health - Disease: Plants</v>
      </c>
      <c r="B6">
        <f>'Hazard information'!F11</f>
        <v>0</v>
      </c>
      <c r="C6">
        <f>'Hazard information'!H11</f>
        <v>0</v>
      </c>
      <c r="D6" t="e">
        <f>'Hazard information'!J11</f>
        <v>#N/A</v>
      </c>
      <c r="E6" t="e">
        <f>'Hazard information'!L11</f>
        <v>#N/A</v>
      </c>
      <c r="F6">
        <f>'Hazard information'!N11</f>
        <v>0</v>
      </c>
      <c r="G6">
        <f>'Hazard information'!P11</f>
        <v>0</v>
      </c>
      <c r="H6">
        <f>'Hazard information'!R11</f>
        <v>0</v>
      </c>
      <c r="I6">
        <f>'Hazard information'!T11</f>
        <v>0</v>
      </c>
      <c r="J6">
        <f>'Hazard information'!V11</f>
        <v>0</v>
      </c>
      <c r="K6">
        <f>'Hazard information'!X11</f>
        <v>0</v>
      </c>
      <c r="L6" s="37" t="e">
        <f t="shared" si="2"/>
        <v>#N/A</v>
      </c>
      <c r="M6">
        <f>'Hazard information'!Z11</f>
        <v>0</v>
      </c>
      <c r="N6">
        <f>'Hazard information'!AB11</f>
        <v>0</v>
      </c>
      <c r="O6">
        <f>'Hazard information'!AD11</f>
        <v>0</v>
      </c>
      <c r="P6">
        <f>'Hazard information'!AF11</f>
        <v>0</v>
      </c>
      <c r="Q6">
        <f>'Hazard information'!AH11</f>
        <v>0</v>
      </c>
      <c r="R6">
        <f>'Hazard information'!AJ11</f>
        <v>0</v>
      </c>
      <c r="S6">
        <f>'Hazard information'!AL11</f>
        <v>0</v>
      </c>
      <c r="T6">
        <f>'Hazard information'!AN11</f>
        <v>0</v>
      </c>
      <c r="U6" s="37">
        <f t="shared" si="0"/>
        <v>0</v>
      </c>
      <c r="V6" s="38">
        <f>'Hazard information'!AO11</f>
        <v>0</v>
      </c>
      <c r="W6">
        <f>'Hazard information'!AQ11</f>
        <v>0</v>
      </c>
      <c r="X6">
        <f>'Hazard information'!AS11</f>
        <v>0</v>
      </c>
      <c r="Y6">
        <f>'Hazard information'!AU11</f>
        <v>0</v>
      </c>
      <c r="Z6">
        <f>'Hazard information'!AW11</f>
        <v>0</v>
      </c>
      <c r="AA6">
        <f>'Hazard information'!AY11</f>
        <v>0</v>
      </c>
      <c r="AB6">
        <f>'Hazard information'!BA11</f>
        <v>0</v>
      </c>
      <c r="AC6">
        <f>'Hazard information'!BC11</f>
        <v>0</v>
      </c>
      <c r="AD6">
        <f>'Hazard information'!BE11</f>
        <v>0</v>
      </c>
      <c r="AE6" s="37">
        <f t="shared" si="1"/>
        <v>0</v>
      </c>
    </row>
    <row r="7" spans="1:31" x14ac:dyDescent="0.3">
      <c r="A7" t="str">
        <f>'Hazard information'!A3</f>
        <v>Civil Unrest - Armed Conflict (Civil/Political War)</v>
      </c>
      <c r="B7">
        <f>'Hazard information'!F3</f>
        <v>0</v>
      </c>
      <c r="C7">
        <f>'Hazard information'!H3</f>
        <v>0</v>
      </c>
      <c r="D7" t="e">
        <f>'Hazard information'!J3</f>
        <v>#N/A</v>
      </c>
      <c r="E7" t="e">
        <f>'Hazard information'!L3</f>
        <v>#N/A</v>
      </c>
      <c r="F7">
        <f>'Hazard information'!N3</f>
        <v>0</v>
      </c>
      <c r="G7">
        <f>'Hazard information'!P3</f>
        <v>0</v>
      </c>
      <c r="H7">
        <f>'Hazard information'!R3</f>
        <v>0</v>
      </c>
      <c r="I7">
        <f>'Hazard information'!T3</f>
        <v>0</v>
      </c>
      <c r="J7">
        <f>'Hazard information'!V3</f>
        <v>0</v>
      </c>
      <c r="K7">
        <f>'Hazard information'!X3</f>
        <v>0</v>
      </c>
      <c r="L7" s="37" t="e">
        <f t="shared" si="2"/>
        <v>#N/A</v>
      </c>
      <c r="M7">
        <f>'Hazard information'!Z3</f>
        <v>0</v>
      </c>
      <c r="N7">
        <f>'Hazard information'!AB3</f>
        <v>0</v>
      </c>
      <c r="O7">
        <f>'Hazard information'!AD3</f>
        <v>0</v>
      </c>
      <c r="P7">
        <f>'Hazard information'!AF3</f>
        <v>0</v>
      </c>
      <c r="Q7">
        <f>'Hazard information'!AH3</f>
        <v>0</v>
      </c>
      <c r="R7">
        <f>'Hazard information'!AJ3</f>
        <v>0</v>
      </c>
      <c r="S7">
        <f>'Hazard information'!AL3</f>
        <v>0</v>
      </c>
      <c r="T7">
        <f>'Hazard information'!AN3</f>
        <v>0</v>
      </c>
      <c r="U7" s="37">
        <f t="shared" si="0"/>
        <v>0</v>
      </c>
      <c r="V7" s="38">
        <f>'Hazard information'!AO3</f>
        <v>0</v>
      </c>
      <c r="W7">
        <f>'Hazard information'!AQ3</f>
        <v>0</v>
      </c>
      <c r="X7">
        <f>'Hazard information'!AS3</f>
        <v>0</v>
      </c>
      <c r="Y7">
        <f>'Hazard information'!AU3</f>
        <v>0</v>
      </c>
      <c r="Z7">
        <f>'Hazard information'!AW3</f>
        <v>0</v>
      </c>
      <c r="AA7">
        <f>'Hazard information'!AY3</f>
        <v>0</v>
      </c>
      <c r="AB7">
        <f>'Hazard information'!BA3</f>
        <v>0</v>
      </c>
      <c r="AC7">
        <f>'Hazard information'!BC3</f>
        <v>0</v>
      </c>
      <c r="AD7">
        <f>'Hazard information'!BE3</f>
        <v>0</v>
      </c>
      <c r="AE7" s="37">
        <f t="shared" si="1"/>
        <v>0</v>
      </c>
    </row>
    <row r="8" spans="1:31" x14ac:dyDescent="0.3">
      <c r="A8" t="str">
        <f>'Hazard information'!A6</f>
        <v>Civil Unrest - Refugees / Displaced People</v>
      </c>
      <c r="B8">
        <f>'Hazard information'!F6</f>
        <v>0</v>
      </c>
      <c r="C8">
        <f>'Hazard information'!H6</f>
        <v>0</v>
      </c>
      <c r="D8" t="e">
        <f>'Hazard information'!J6</f>
        <v>#N/A</v>
      </c>
      <c r="E8" t="e">
        <f>'Hazard information'!L6</f>
        <v>#N/A</v>
      </c>
      <c r="F8">
        <f>'Hazard information'!N6</f>
        <v>0</v>
      </c>
      <c r="G8">
        <f>'Hazard information'!P6</f>
        <v>0</v>
      </c>
      <c r="H8">
        <f>'Hazard information'!R6</f>
        <v>0</v>
      </c>
      <c r="I8">
        <f>'Hazard information'!T6</f>
        <v>0</v>
      </c>
      <c r="J8">
        <f>'Hazard information'!V6</f>
        <v>0</v>
      </c>
      <c r="K8">
        <f>'Hazard information'!X6</f>
        <v>0</v>
      </c>
      <c r="L8" s="37" t="e">
        <f t="shared" si="2"/>
        <v>#N/A</v>
      </c>
      <c r="M8">
        <f>'Hazard information'!Z6</f>
        <v>0</v>
      </c>
      <c r="N8">
        <f>'Hazard information'!AB6</f>
        <v>0</v>
      </c>
      <c r="O8">
        <f>'Hazard information'!AD6</f>
        <v>0</v>
      </c>
      <c r="P8">
        <f>'Hazard information'!AF6</f>
        <v>0</v>
      </c>
      <c r="Q8">
        <f>'Hazard information'!AH6</f>
        <v>0</v>
      </c>
      <c r="R8">
        <f>'Hazard information'!AJ6</f>
        <v>0</v>
      </c>
      <c r="S8">
        <f>'Hazard information'!AL6</f>
        <v>0</v>
      </c>
      <c r="T8">
        <f>'Hazard information'!AN6</f>
        <v>0</v>
      </c>
      <c r="U8" s="37">
        <f t="shared" si="0"/>
        <v>0</v>
      </c>
      <c r="V8" s="38">
        <f>'Hazard information'!AO6</f>
        <v>0</v>
      </c>
      <c r="W8">
        <f>'Hazard information'!AQ6</f>
        <v>0</v>
      </c>
      <c r="X8">
        <f>'Hazard information'!AS6</f>
        <v>0</v>
      </c>
      <c r="Y8">
        <f>'Hazard information'!AU6</f>
        <v>0</v>
      </c>
      <c r="Z8">
        <f>'Hazard information'!AW6</f>
        <v>0</v>
      </c>
      <c r="AA8">
        <f>'Hazard information'!AY6</f>
        <v>0</v>
      </c>
      <c r="AB8">
        <f>'Hazard information'!BA6</f>
        <v>0</v>
      </c>
      <c r="AC8">
        <f>'Hazard information'!BC6</f>
        <v>0</v>
      </c>
      <c r="AD8">
        <f>'Hazard information'!BE6</f>
        <v>0</v>
      </c>
      <c r="AE8" s="37">
        <f t="shared" si="1"/>
        <v>0</v>
      </c>
    </row>
    <row r="9" spans="1:31" x14ac:dyDescent="0.3">
      <c r="A9" t="str">
        <f>'Hazard information'!A7</f>
        <v>Civil Unrest - Terrorism</v>
      </c>
      <c r="B9">
        <f>'Hazard information'!F7</f>
        <v>0</v>
      </c>
      <c r="C9">
        <f>'Hazard information'!H7</f>
        <v>0</v>
      </c>
      <c r="D9" t="e">
        <f>'Hazard information'!J7</f>
        <v>#N/A</v>
      </c>
      <c r="E9" t="e">
        <f>'Hazard information'!L7</f>
        <v>#N/A</v>
      </c>
      <c r="F9">
        <f>'Hazard information'!N7</f>
        <v>0</v>
      </c>
      <c r="G9">
        <f>'Hazard information'!P7</f>
        <v>0</v>
      </c>
      <c r="H9">
        <f>'Hazard information'!R7</f>
        <v>0</v>
      </c>
      <c r="I9">
        <f>'Hazard information'!T7</f>
        <v>0</v>
      </c>
      <c r="J9">
        <f>'Hazard information'!V7</f>
        <v>0</v>
      </c>
      <c r="K9">
        <f>'Hazard information'!X7</f>
        <v>0</v>
      </c>
      <c r="L9" s="37" t="e">
        <f t="shared" si="2"/>
        <v>#N/A</v>
      </c>
      <c r="M9">
        <f>'Hazard information'!Z7</f>
        <v>0</v>
      </c>
      <c r="N9">
        <f>'Hazard information'!AB7</f>
        <v>0</v>
      </c>
      <c r="O9">
        <f>'Hazard information'!AD7</f>
        <v>0</v>
      </c>
      <c r="P9">
        <f>'Hazard information'!AF7</f>
        <v>0</v>
      </c>
      <c r="Q9">
        <f>'Hazard information'!AH7</f>
        <v>0</v>
      </c>
      <c r="R9">
        <f>'Hazard information'!AJ7</f>
        <v>0</v>
      </c>
      <c r="S9">
        <f>'Hazard information'!AL7</f>
        <v>0</v>
      </c>
      <c r="T9">
        <f>'Hazard information'!AN7</f>
        <v>0</v>
      </c>
      <c r="U9" s="37">
        <f t="shared" si="0"/>
        <v>0</v>
      </c>
      <c r="V9" s="38">
        <f>'Hazard information'!AO7</f>
        <v>0</v>
      </c>
      <c r="W9">
        <f>'Hazard information'!AQ7</f>
        <v>0</v>
      </c>
      <c r="X9">
        <f>'Hazard information'!AS7</f>
        <v>0</v>
      </c>
      <c r="Y9">
        <f>'Hazard information'!AU7</f>
        <v>0</v>
      </c>
      <c r="Z9">
        <f>'Hazard information'!AW7</f>
        <v>0</v>
      </c>
      <c r="AA9">
        <f>'Hazard information'!AY7</f>
        <v>0</v>
      </c>
      <c r="AB9">
        <f>'Hazard information'!BA7</f>
        <v>0</v>
      </c>
      <c r="AC9">
        <f>'Hazard information'!BC7</f>
        <v>0</v>
      </c>
      <c r="AD9">
        <f>'Hazard information'!BE7</f>
        <v>0</v>
      </c>
      <c r="AE9" s="37">
        <f t="shared" si="1"/>
        <v>0</v>
      </c>
    </row>
    <row r="10" spans="1:31" x14ac:dyDescent="0.3">
      <c r="A10" t="str">
        <f>'Hazard information'!A19</f>
        <v>Geological Hazards - Landslides/Mud flows</v>
      </c>
      <c r="B10">
        <f>'Hazard information'!F19</f>
        <v>0</v>
      </c>
      <c r="C10">
        <f>'Hazard information'!H19</f>
        <v>0</v>
      </c>
      <c r="D10" t="e">
        <f>'Hazard information'!J19</f>
        <v>#N/A</v>
      </c>
      <c r="E10" t="e">
        <f>'Hazard information'!L19</f>
        <v>#N/A</v>
      </c>
      <c r="F10">
        <f>'Hazard information'!N19</f>
        <v>0</v>
      </c>
      <c r="G10">
        <f>'Hazard information'!P19</f>
        <v>0</v>
      </c>
      <c r="H10">
        <f>'Hazard information'!R19</f>
        <v>0</v>
      </c>
      <c r="I10">
        <f>'Hazard information'!T19</f>
        <v>0</v>
      </c>
      <c r="J10">
        <f>'Hazard information'!V19</f>
        <v>0</v>
      </c>
      <c r="K10">
        <f>'Hazard information'!X19</f>
        <v>0</v>
      </c>
      <c r="L10" s="37" t="e">
        <f t="shared" si="2"/>
        <v>#N/A</v>
      </c>
      <c r="M10">
        <f>'Hazard information'!Z19</f>
        <v>0</v>
      </c>
      <c r="N10">
        <f>'Hazard information'!AB19</f>
        <v>0</v>
      </c>
      <c r="O10">
        <f>'Hazard information'!AD19</f>
        <v>0</v>
      </c>
      <c r="P10">
        <f>'Hazard information'!AF19</f>
        <v>0</v>
      </c>
      <c r="Q10">
        <f>'Hazard information'!AH19</f>
        <v>0</v>
      </c>
      <c r="R10">
        <f>'Hazard information'!AJ19</f>
        <v>0</v>
      </c>
      <c r="S10">
        <f>'Hazard information'!AL19</f>
        <v>0</v>
      </c>
      <c r="T10">
        <f>'Hazard information'!AN19</f>
        <v>0</v>
      </c>
      <c r="U10" s="37">
        <f t="shared" si="0"/>
        <v>0</v>
      </c>
      <c r="V10" s="38">
        <f>'Hazard information'!AO19</f>
        <v>0</v>
      </c>
      <c r="W10">
        <f>'Hazard information'!AQ19</f>
        <v>0</v>
      </c>
      <c r="X10">
        <f>'Hazard information'!AS19</f>
        <v>0</v>
      </c>
      <c r="Y10">
        <f>'Hazard information'!AU19</f>
        <v>0</v>
      </c>
      <c r="Z10">
        <f>'Hazard information'!AW19</f>
        <v>0</v>
      </c>
      <c r="AA10">
        <f>'Hazard information'!AY19</f>
        <v>0</v>
      </c>
      <c r="AB10">
        <f>'Hazard information'!BA19</f>
        <v>0</v>
      </c>
      <c r="AC10">
        <f>'Hazard information'!BC19</f>
        <v>0</v>
      </c>
      <c r="AD10">
        <f>'Hazard information'!BE19</f>
        <v>0</v>
      </c>
      <c r="AE10" s="37">
        <f t="shared" si="1"/>
        <v>0</v>
      </c>
    </row>
    <row r="11" spans="1:31" x14ac:dyDescent="0.3">
      <c r="A11" t="str">
        <f>'Hazard information'!A21</f>
        <v>Geological Hazards - Subsidence</v>
      </c>
      <c r="B11">
        <f>'Hazard information'!F21</f>
        <v>0</v>
      </c>
      <c r="C11">
        <f>'Hazard information'!H21</f>
        <v>0</v>
      </c>
      <c r="D11" t="e">
        <f>'Hazard information'!J21</f>
        <v>#N/A</v>
      </c>
      <c r="E11" t="e">
        <f>'Hazard information'!L21</f>
        <v>#N/A</v>
      </c>
      <c r="F11">
        <f>'Hazard information'!N21</f>
        <v>0</v>
      </c>
      <c r="G11">
        <f>'Hazard information'!P21</f>
        <v>0</v>
      </c>
      <c r="H11">
        <f>'Hazard information'!R21</f>
        <v>0</v>
      </c>
      <c r="I11">
        <f>'Hazard information'!T21</f>
        <v>0</v>
      </c>
      <c r="J11">
        <f>'Hazard information'!V21</f>
        <v>0</v>
      </c>
      <c r="K11">
        <f>'Hazard information'!X21</f>
        <v>0</v>
      </c>
      <c r="L11" s="37" t="e">
        <f t="shared" si="2"/>
        <v>#N/A</v>
      </c>
      <c r="M11">
        <f>'Hazard information'!Z21</f>
        <v>0</v>
      </c>
      <c r="N11">
        <f>'Hazard information'!AB21</f>
        <v>0</v>
      </c>
      <c r="O11">
        <f>'Hazard information'!AD21</f>
        <v>0</v>
      </c>
      <c r="P11">
        <f>'Hazard information'!AF21</f>
        <v>0</v>
      </c>
      <c r="Q11">
        <f>'Hazard information'!AH21</f>
        <v>0</v>
      </c>
      <c r="R11">
        <f>'Hazard information'!AJ21</f>
        <v>0</v>
      </c>
      <c r="S11">
        <f>'Hazard information'!AL21</f>
        <v>0</v>
      </c>
      <c r="T11">
        <f>'Hazard information'!AN21</f>
        <v>0</v>
      </c>
      <c r="U11" s="37">
        <f t="shared" si="0"/>
        <v>0</v>
      </c>
      <c r="V11" s="38">
        <f>'Hazard information'!AO21</f>
        <v>0</v>
      </c>
      <c r="W11">
        <f>'Hazard information'!AQ21</f>
        <v>0</v>
      </c>
      <c r="X11">
        <f>'Hazard information'!AS21</f>
        <v>0</v>
      </c>
      <c r="Y11">
        <f>'Hazard information'!AU21</f>
        <v>0</v>
      </c>
      <c r="Z11">
        <f>'Hazard information'!AW21</f>
        <v>0</v>
      </c>
      <c r="AA11">
        <f>'Hazard information'!AY21</f>
        <v>0</v>
      </c>
      <c r="AB11">
        <f>'Hazard information'!BA21</f>
        <v>0</v>
      </c>
      <c r="AC11">
        <f>'Hazard information'!BC21</f>
        <v>0</v>
      </c>
      <c r="AD11">
        <f>'Hazard information'!BE21</f>
        <v>0</v>
      </c>
      <c r="AE11" s="37">
        <f t="shared" si="1"/>
        <v>0</v>
      </c>
    </row>
    <row r="12" spans="1:31" x14ac:dyDescent="0.3">
      <c r="A12" t="str">
        <f>'Hazard information'!A29</f>
        <v>Infestations - Algal Bloom (Red Tide)</v>
      </c>
      <c r="B12">
        <f>'Hazard information'!F29</f>
        <v>0</v>
      </c>
      <c r="C12">
        <f>'Hazard information'!H29</f>
        <v>0</v>
      </c>
      <c r="D12" t="e">
        <f>'Hazard information'!J29</f>
        <v>#N/A</v>
      </c>
      <c r="E12" t="e">
        <f>'Hazard information'!L29</f>
        <v>#N/A</v>
      </c>
      <c r="F12">
        <f>'Hazard information'!N29</f>
        <v>0</v>
      </c>
      <c r="G12">
        <f>'Hazard information'!P29</f>
        <v>0</v>
      </c>
      <c r="H12">
        <f>'Hazard information'!R29</f>
        <v>0</v>
      </c>
      <c r="I12">
        <f>'Hazard information'!T29</f>
        <v>0</v>
      </c>
      <c r="J12">
        <f>'Hazard information'!V29</f>
        <v>0</v>
      </c>
      <c r="K12">
        <f>'Hazard information'!X29</f>
        <v>0</v>
      </c>
      <c r="L12" s="37" t="e">
        <f t="shared" si="2"/>
        <v>#N/A</v>
      </c>
      <c r="M12">
        <f>'Hazard information'!Z29</f>
        <v>0</v>
      </c>
      <c r="N12">
        <f>'Hazard information'!AB29</f>
        <v>0</v>
      </c>
      <c r="O12">
        <f>'Hazard information'!AD29</f>
        <v>0</v>
      </c>
      <c r="P12">
        <f>'Hazard information'!AF29</f>
        <v>0</v>
      </c>
      <c r="Q12">
        <f>'Hazard information'!AH29</f>
        <v>0</v>
      </c>
      <c r="R12">
        <f>'Hazard information'!AJ29</f>
        <v>0</v>
      </c>
      <c r="S12">
        <f>'Hazard information'!AL29</f>
        <v>0</v>
      </c>
      <c r="T12">
        <f>'Hazard information'!AN29</f>
        <v>0</v>
      </c>
      <c r="U12" s="37">
        <f t="shared" si="0"/>
        <v>0</v>
      </c>
      <c r="V12" s="38">
        <f>'Hazard information'!AO29</f>
        <v>0</v>
      </c>
      <c r="W12">
        <f>'Hazard information'!AQ29</f>
        <v>0</v>
      </c>
      <c r="X12">
        <f>'Hazard information'!AS29</f>
        <v>0</v>
      </c>
      <c r="Y12">
        <f>'Hazard information'!AU29</f>
        <v>0</v>
      </c>
      <c r="Z12">
        <f>'Hazard information'!AW29</f>
        <v>0</v>
      </c>
      <c r="AA12">
        <f>'Hazard information'!AY29</f>
        <v>0</v>
      </c>
      <c r="AB12">
        <f>'Hazard information'!BA29</f>
        <v>0</v>
      </c>
      <c r="AC12">
        <f>'Hazard information'!BC29</f>
        <v>0</v>
      </c>
      <c r="AD12">
        <f>'Hazard information'!BE29</f>
        <v>0</v>
      </c>
      <c r="AE12" s="37">
        <f t="shared" si="1"/>
        <v>0</v>
      </c>
    </row>
    <row r="13" spans="1:31" x14ac:dyDescent="0.3">
      <c r="A13" t="str">
        <f>'Hazard information'!A30</f>
        <v>Infestations - Animal Infestation / Over Population</v>
      </c>
      <c r="B13">
        <f>'Hazard information'!F30</f>
        <v>0</v>
      </c>
      <c r="C13">
        <f>'Hazard information'!H30</f>
        <v>0</v>
      </c>
      <c r="D13" t="e">
        <f>'Hazard information'!J30</f>
        <v>#N/A</v>
      </c>
      <c r="E13" t="e">
        <f>'Hazard information'!L30</f>
        <v>#N/A</v>
      </c>
      <c r="F13">
        <f>'Hazard information'!N30</f>
        <v>0</v>
      </c>
      <c r="G13">
        <f>'Hazard information'!P30</f>
        <v>0</v>
      </c>
      <c r="H13">
        <f>'Hazard information'!R30</f>
        <v>0</v>
      </c>
      <c r="I13">
        <f>'Hazard information'!T30</f>
        <v>0</v>
      </c>
      <c r="J13">
        <f>'Hazard information'!V30</f>
        <v>0</v>
      </c>
      <c r="K13">
        <f>'Hazard information'!X30</f>
        <v>0</v>
      </c>
      <c r="L13" s="37" t="e">
        <f t="shared" si="2"/>
        <v>#N/A</v>
      </c>
      <c r="M13">
        <f>'Hazard information'!Z30</f>
        <v>0</v>
      </c>
      <c r="N13">
        <f>'Hazard information'!AB30</f>
        <v>0</v>
      </c>
      <c r="O13">
        <f>'Hazard information'!AD30</f>
        <v>0</v>
      </c>
      <c r="P13">
        <f>'Hazard information'!AF30</f>
        <v>0</v>
      </c>
      <c r="Q13">
        <f>'Hazard information'!AH30</f>
        <v>0</v>
      </c>
      <c r="R13">
        <f>'Hazard information'!AJ30</f>
        <v>0</v>
      </c>
      <c r="S13">
        <f>'Hazard information'!AL30</f>
        <v>0</v>
      </c>
      <c r="T13">
        <f>'Hazard information'!AN30</f>
        <v>0</v>
      </c>
      <c r="U13" s="37">
        <f t="shared" si="0"/>
        <v>0</v>
      </c>
      <c r="V13" s="38">
        <f>'Hazard information'!AO30</f>
        <v>0</v>
      </c>
      <c r="W13">
        <f>'Hazard information'!AQ30</f>
        <v>0</v>
      </c>
      <c r="X13">
        <f>'Hazard information'!AS30</f>
        <v>0</v>
      </c>
      <c r="Y13">
        <f>'Hazard information'!AU30</f>
        <v>0</v>
      </c>
      <c r="Z13">
        <f>'Hazard information'!AW30</f>
        <v>0</v>
      </c>
      <c r="AA13">
        <f>'Hazard information'!AY30</f>
        <v>0</v>
      </c>
      <c r="AB13">
        <f>'Hazard information'!BA30</f>
        <v>0</v>
      </c>
      <c r="AC13">
        <f>'Hazard information'!BC30</f>
        <v>0</v>
      </c>
      <c r="AD13">
        <f>'Hazard information'!BE30</f>
        <v>0</v>
      </c>
      <c r="AE13" s="37">
        <f t="shared" si="1"/>
        <v>0</v>
      </c>
    </row>
    <row r="14" spans="1:31" x14ac:dyDescent="0.3">
      <c r="A14" t="str">
        <f>'Hazard information'!A34</f>
        <v>Infrastructure Failure / Service Delivery Failure - Gas</v>
      </c>
      <c r="B14">
        <f>'Hazard information'!F34</f>
        <v>0</v>
      </c>
      <c r="C14">
        <f>'Hazard information'!H34</f>
        <v>0</v>
      </c>
      <c r="D14" t="e">
        <f>'Hazard information'!J34</f>
        <v>#N/A</v>
      </c>
      <c r="E14" t="e">
        <f>'Hazard information'!L34</f>
        <v>#N/A</v>
      </c>
      <c r="F14">
        <f>'Hazard information'!N34</f>
        <v>0</v>
      </c>
      <c r="G14">
        <f>'Hazard information'!P34</f>
        <v>0</v>
      </c>
      <c r="H14">
        <f>'Hazard information'!R34</f>
        <v>0</v>
      </c>
      <c r="I14">
        <f>'Hazard information'!T34</f>
        <v>0</v>
      </c>
      <c r="J14">
        <f>'Hazard information'!V34</f>
        <v>0</v>
      </c>
      <c r="K14">
        <f>'Hazard information'!X34</f>
        <v>0</v>
      </c>
      <c r="L14" s="37" t="e">
        <f t="shared" si="2"/>
        <v>#N/A</v>
      </c>
      <c r="M14">
        <f>'Hazard information'!Z34</f>
        <v>0</v>
      </c>
      <c r="N14">
        <f>'Hazard information'!AB34</f>
        <v>0</v>
      </c>
      <c r="O14">
        <f>'Hazard information'!AD34</f>
        <v>0</v>
      </c>
      <c r="P14">
        <f>'Hazard information'!AF34</f>
        <v>0</v>
      </c>
      <c r="Q14">
        <f>'Hazard information'!AH34</f>
        <v>0</v>
      </c>
      <c r="R14">
        <f>'Hazard information'!AJ34</f>
        <v>0</v>
      </c>
      <c r="S14">
        <f>'Hazard information'!AL34</f>
        <v>0</v>
      </c>
      <c r="T14">
        <f>'Hazard information'!AN34</f>
        <v>0</v>
      </c>
      <c r="U14" s="37">
        <f t="shared" si="0"/>
        <v>0</v>
      </c>
      <c r="V14" s="38">
        <f>'Hazard information'!AO34</f>
        <v>0</v>
      </c>
      <c r="W14">
        <f>'Hazard information'!AQ34</f>
        <v>0</v>
      </c>
      <c r="X14">
        <f>'Hazard information'!AS34</f>
        <v>0</v>
      </c>
      <c r="Y14">
        <f>'Hazard information'!AU34</f>
        <v>0</v>
      </c>
      <c r="Z14">
        <f>'Hazard information'!AW34</f>
        <v>0</v>
      </c>
      <c r="AA14">
        <f>'Hazard information'!AY34</f>
        <v>0</v>
      </c>
      <c r="AB14">
        <f>'Hazard information'!BA34</f>
        <v>0</v>
      </c>
      <c r="AC14">
        <f>'Hazard information'!BC34</f>
        <v>0</v>
      </c>
      <c r="AD14">
        <f>'Hazard information'!BE34</f>
        <v>0</v>
      </c>
      <c r="AE14" s="37">
        <f t="shared" si="1"/>
        <v>0</v>
      </c>
    </row>
    <row r="15" spans="1:31" x14ac:dyDescent="0.3">
      <c r="A15" t="str">
        <f>'Hazard information'!A40</f>
        <v>Major Event Hazards - Political</v>
      </c>
      <c r="B15">
        <f>'Hazard information'!F40</f>
        <v>0</v>
      </c>
      <c r="C15">
        <f>'Hazard information'!H40</f>
        <v>0</v>
      </c>
      <c r="D15" t="e">
        <f>'Hazard information'!J40</f>
        <v>#N/A</v>
      </c>
      <c r="E15" t="e">
        <f>'Hazard information'!L40</f>
        <v>#N/A</v>
      </c>
      <c r="F15">
        <f>'Hazard information'!N40</f>
        <v>0</v>
      </c>
      <c r="G15">
        <f>'Hazard information'!P40</f>
        <v>0</v>
      </c>
      <c r="H15">
        <f>'Hazard information'!R40</f>
        <v>0</v>
      </c>
      <c r="I15">
        <f>'Hazard information'!T40</f>
        <v>0</v>
      </c>
      <c r="J15">
        <f>'Hazard information'!V40</f>
        <v>0</v>
      </c>
      <c r="K15">
        <f>'Hazard information'!X40</f>
        <v>0</v>
      </c>
      <c r="L15" s="37" t="e">
        <f t="shared" si="2"/>
        <v>#N/A</v>
      </c>
      <c r="M15">
        <f>'Hazard information'!Z40</f>
        <v>0</v>
      </c>
      <c r="N15">
        <f>'Hazard information'!AB40</f>
        <v>0</v>
      </c>
      <c r="O15">
        <f>'Hazard information'!AD40</f>
        <v>0</v>
      </c>
      <c r="P15">
        <f>'Hazard information'!AF40</f>
        <v>0</v>
      </c>
      <c r="Q15">
        <f>'Hazard information'!AH40</f>
        <v>0</v>
      </c>
      <c r="R15">
        <f>'Hazard information'!AJ40</f>
        <v>0</v>
      </c>
      <c r="S15">
        <f>'Hazard information'!AL40</f>
        <v>0</v>
      </c>
      <c r="T15">
        <f>'Hazard information'!AN40</f>
        <v>0</v>
      </c>
      <c r="U15" s="37">
        <f t="shared" si="0"/>
        <v>0</v>
      </c>
      <c r="V15" s="38">
        <f>'Hazard information'!AO40</f>
        <v>0</v>
      </c>
      <c r="W15">
        <f>'Hazard information'!AQ40</f>
        <v>0</v>
      </c>
      <c r="X15">
        <f>'Hazard information'!AS40</f>
        <v>0</v>
      </c>
      <c r="Y15">
        <f>'Hazard information'!AU40</f>
        <v>0</v>
      </c>
      <c r="Z15">
        <f>'Hazard information'!AW40</f>
        <v>0</v>
      </c>
      <c r="AA15">
        <f>'Hazard information'!AY40</f>
        <v>0</v>
      </c>
      <c r="AB15">
        <f>'Hazard information'!BA40</f>
        <v>0</v>
      </c>
      <c r="AC15">
        <f>'Hazard information'!BC40</f>
        <v>0</v>
      </c>
      <c r="AD15">
        <f>'Hazard information'!BE40</f>
        <v>0</v>
      </c>
      <c r="AE15" s="37">
        <f t="shared" si="1"/>
        <v>0</v>
      </c>
    </row>
    <row r="16" spans="1:31" x14ac:dyDescent="0.3">
      <c r="A16" t="str">
        <f>'Hazard information'!A41</f>
        <v>Major Event Hazards - Recreational / Commercial</v>
      </c>
      <c r="B16">
        <f>'Hazard information'!F41</f>
        <v>0</v>
      </c>
      <c r="C16">
        <f>'Hazard information'!H41</f>
        <v>0</v>
      </c>
      <c r="D16" t="e">
        <f>'Hazard information'!J41</f>
        <v>#N/A</v>
      </c>
      <c r="E16" t="e">
        <f>'Hazard information'!L41</f>
        <v>#N/A</v>
      </c>
      <c r="F16">
        <f>'Hazard information'!N41</f>
        <v>0</v>
      </c>
      <c r="G16">
        <f>'Hazard information'!P41</f>
        <v>0</v>
      </c>
      <c r="H16">
        <f>'Hazard information'!R41</f>
        <v>0</v>
      </c>
      <c r="I16">
        <f>'Hazard information'!T41</f>
        <v>0</v>
      </c>
      <c r="J16">
        <f>'Hazard information'!V41</f>
        <v>0</v>
      </c>
      <c r="K16">
        <f>'Hazard information'!X41</f>
        <v>0</v>
      </c>
      <c r="L16" s="37" t="e">
        <f t="shared" si="2"/>
        <v>#N/A</v>
      </c>
      <c r="M16">
        <f>'Hazard information'!Z41</f>
        <v>0</v>
      </c>
      <c r="N16">
        <f>'Hazard information'!AB41</f>
        <v>0</v>
      </c>
      <c r="O16">
        <f>'Hazard information'!AD41</f>
        <v>0</v>
      </c>
      <c r="P16">
        <f>'Hazard information'!AF41</f>
        <v>0</v>
      </c>
      <c r="Q16">
        <f>'Hazard information'!AH41</f>
        <v>0</v>
      </c>
      <c r="R16">
        <f>'Hazard information'!AJ41</f>
        <v>0</v>
      </c>
      <c r="S16">
        <f>'Hazard information'!AL41</f>
        <v>0</v>
      </c>
      <c r="T16">
        <f>'Hazard information'!AN41</f>
        <v>0</v>
      </c>
      <c r="U16" s="37">
        <f t="shared" si="0"/>
        <v>0</v>
      </c>
      <c r="V16" s="38">
        <f>'Hazard information'!AO41</f>
        <v>0</v>
      </c>
      <c r="W16">
        <f>'Hazard information'!AQ41</f>
        <v>0</v>
      </c>
      <c r="X16">
        <f>'Hazard information'!AS41</f>
        <v>0</v>
      </c>
      <c r="Y16">
        <f>'Hazard information'!AU41</f>
        <v>0</v>
      </c>
      <c r="Z16">
        <f>'Hazard information'!AW41</f>
        <v>0</v>
      </c>
      <c r="AA16">
        <f>'Hazard information'!AY41</f>
        <v>0</v>
      </c>
      <c r="AB16">
        <f>'Hazard information'!BA41</f>
        <v>0</v>
      </c>
      <c r="AC16">
        <f>'Hazard information'!BC41</f>
        <v>0</v>
      </c>
      <c r="AD16">
        <f>'Hazard information'!BE41</f>
        <v>0</v>
      </c>
      <c r="AE16" s="37">
        <f t="shared" si="1"/>
        <v>0</v>
      </c>
    </row>
    <row r="17" spans="1:31" x14ac:dyDescent="0.3">
      <c r="A17" t="str">
        <f>'Hazard information'!A42</f>
        <v>Major Event Hazards - Sport</v>
      </c>
      <c r="B17">
        <f>'Hazard information'!F42</f>
        <v>0</v>
      </c>
      <c r="C17">
        <f>'Hazard information'!H42</f>
        <v>0</v>
      </c>
      <c r="D17" t="e">
        <f>'Hazard information'!J42</f>
        <v>#N/A</v>
      </c>
      <c r="E17" t="e">
        <f>'Hazard information'!L42</f>
        <v>#N/A</v>
      </c>
      <c r="F17">
        <f>'Hazard information'!N42</f>
        <v>0</v>
      </c>
      <c r="G17">
        <f>'Hazard information'!P42</f>
        <v>0</v>
      </c>
      <c r="H17">
        <f>'Hazard information'!R42</f>
        <v>0</v>
      </c>
      <c r="I17">
        <f>'Hazard information'!T42</f>
        <v>0</v>
      </c>
      <c r="J17">
        <f>'Hazard information'!V42</f>
        <v>0</v>
      </c>
      <c r="K17">
        <f>'Hazard information'!X42</f>
        <v>0</v>
      </c>
      <c r="L17" s="37" t="e">
        <f t="shared" si="2"/>
        <v>#N/A</v>
      </c>
      <c r="M17">
        <f>'Hazard information'!Z42</f>
        <v>0</v>
      </c>
      <c r="N17">
        <f>'Hazard information'!AB42</f>
        <v>0</v>
      </c>
      <c r="O17">
        <f>'Hazard information'!AD42</f>
        <v>0</v>
      </c>
      <c r="P17">
        <f>'Hazard information'!AF42</f>
        <v>0</v>
      </c>
      <c r="Q17">
        <f>'Hazard information'!AH42</f>
        <v>0</v>
      </c>
      <c r="R17">
        <f>'Hazard information'!AJ42</f>
        <v>0</v>
      </c>
      <c r="S17">
        <f>'Hazard information'!AL42</f>
        <v>0</v>
      </c>
      <c r="T17">
        <f>'Hazard information'!AN42</f>
        <v>0</v>
      </c>
      <c r="U17" s="37">
        <f t="shared" si="0"/>
        <v>0</v>
      </c>
      <c r="V17" s="38">
        <f>'Hazard information'!AO42</f>
        <v>0</v>
      </c>
      <c r="W17">
        <f>'Hazard information'!AQ42</f>
        <v>0</v>
      </c>
      <c r="X17">
        <f>'Hazard information'!AS42</f>
        <v>0</v>
      </c>
      <c r="Y17">
        <f>'Hazard information'!AU42</f>
        <v>0</v>
      </c>
      <c r="Z17">
        <f>'Hazard information'!AW42</f>
        <v>0</v>
      </c>
      <c r="AA17">
        <f>'Hazard information'!AY42</f>
        <v>0</v>
      </c>
      <c r="AB17">
        <f>'Hazard information'!BA42</f>
        <v>0</v>
      </c>
      <c r="AC17">
        <f>'Hazard information'!BC42</f>
        <v>0</v>
      </c>
      <c r="AD17">
        <f>'Hazard information'!BE42</f>
        <v>0</v>
      </c>
      <c r="AE17" s="37">
        <f t="shared" si="1"/>
        <v>0</v>
      </c>
    </row>
    <row r="18" spans="1:31" x14ac:dyDescent="0.3">
      <c r="A18" t="str">
        <f>'Hazard information'!A44</f>
        <v>Oceanographic - Storm Surge</v>
      </c>
      <c r="B18">
        <f>'Hazard information'!F44</f>
        <v>0</v>
      </c>
      <c r="C18">
        <f>'Hazard information'!H44</f>
        <v>0</v>
      </c>
      <c r="D18" t="e">
        <f>'Hazard information'!J44</f>
        <v>#N/A</v>
      </c>
      <c r="E18" t="e">
        <f>'Hazard information'!L44</f>
        <v>#N/A</v>
      </c>
      <c r="F18">
        <f>'Hazard information'!N44</f>
        <v>0</v>
      </c>
      <c r="G18">
        <f>'Hazard information'!P44</f>
        <v>0</v>
      </c>
      <c r="H18">
        <f>'Hazard information'!R44</f>
        <v>0</v>
      </c>
      <c r="I18">
        <f>'Hazard information'!T44</f>
        <v>0</v>
      </c>
      <c r="J18">
        <f>'Hazard information'!V44</f>
        <v>0</v>
      </c>
      <c r="K18">
        <f>'Hazard information'!X44</f>
        <v>0</v>
      </c>
      <c r="L18" s="37" t="e">
        <f t="shared" si="2"/>
        <v>#N/A</v>
      </c>
      <c r="M18">
        <f>'Hazard information'!Z44</f>
        <v>0</v>
      </c>
      <c r="N18">
        <f>'Hazard information'!AB44</f>
        <v>0</v>
      </c>
      <c r="O18">
        <f>'Hazard information'!AD44</f>
        <v>0</v>
      </c>
      <c r="P18">
        <f>'Hazard information'!AF44</f>
        <v>0</v>
      </c>
      <c r="Q18">
        <f>'Hazard information'!AH44</f>
        <v>0</v>
      </c>
      <c r="R18">
        <f>'Hazard information'!AJ44</f>
        <v>0</v>
      </c>
      <c r="S18">
        <f>'Hazard information'!AL44</f>
        <v>0</v>
      </c>
      <c r="T18">
        <f>'Hazard information'!AN44</f>
        <v>0</v>
      </c>
      <c r="U18" s="37">
        <f t="shared" si="0"/>
        <v>0</v>
      </c>
      <c r="V18" s="38">
        <f>'Hazard information'!AO44</f>
        <v>0</v>
      </c>
      <c r="W18">
        <f>'Hazard information'!AQ44</f>
        <v>0</v>
      </c>
      <c r="X18">
        <f>'Hazard information'!AS44</f>
        <v>0</v>
      </c>
      <c r="Y18">
        <f>'Hazard information'!AU44</f>
        <v>0</v>
      </c>
      <c r="Z18">
        <f>'Hazard information'!AW44</f>
        <v>0</v>
      </c>
      <c r="AA18">
        <f>'Hazard information'!AY44</f>
        <v>0</v>
      </c>
      <c r="AB18">
        <f>'Hazard information'!BA44</f>
        <v>0</v>
      </c>
      <c r="AC18">
        <f>'Hazard information'!BC44</f>
        <v>0</v>
      </c>
      <c r="AD18">
        <f>'Hazard information'!BE44</f>
        <v>0</v>
      </c>
      <c r="AE18" s="37">
        <f t="shared" si="1"/>
        <v>0</v>
      </c>
    </row>
    <row r="19" spans="1:31" x14ac:dyDescent="0.3">
      <c r="A19" t="str">
        <f>'Hazard information'!A45</f>
        <v>Oceanographic - Tsunami</v>
      </c>
      <c r="B19">
        <f>'Hazard information'!F45</f>
        <v>0</v>
      </c>
      <c r="C19">
        <f>'Hazard information'!H45</f>
        <v>0</v>
      </c>
      <c r="D19" t="e">
        <f>'Hazard information'!J45</f>
        <v>#N/A</v>
      </c>
      <c r="E19" t="e">
        <f>'Hazard information'!L45</f>
        <v>#N/A</v>
      </c>
      <c r="F19">
        <f>'Hazard information'!N45</f>
        <v>0</v>
      </c>
      <c r="G19">
        <f>'Hazard information'!P45</f>
        <v>0</v>
      </c>
      <c r="H19">
        <f>'Hazard information'!R45</f>
        <v>0</v>
      </c>
      <c r="I19">
        <f>'Hazard information'!T45</f>
        <v>0</v>
      </c>
      <c r="J19">
        <f>'Hazard information'!V45</f>
        <v>0</v>
      </c>
      <c r="K19">
        <f>'Hazard information'!X45</f>
        <v>0</v>
      </c>
      <c r="L19" s="37" t="e">
        <f t="shared" si="2"/>
        <v>#N/A</v>
      </c>
      <c r="M19">
        <f>'Hazard information'!Z45</f>
        <v>0</v>
      </c>
      <c r="N19">
        <f>'Hazard information'!AB45</f>
        <v>0</v>
      </c>
      <c r="O19">
        <f>'Hazard information'!AD45</f>
        <v>0</v>
      </c>
      <c r="P19">
        <f>'Hazard information'!AF45</f>
        <v>0</v>
      </c>
      <c r="Q19">
        <f>'Hazard information'!AH45</f>
        <v>0</v>
      </c>
      <c r="R19">
        <f>'Hazard information'!AJ45</f>
        <v>0</v>
      </c>
      <c r="S19">
        <f>'Hazard information'!AL45</f>
        <v>0</v>
      </c>
      <c r="T19">
        <f>'Hazard information'!AN45</f>
        <v>0</v>
      </c>
      <c r="U19" s="37">
        <f t="shared" si="0"/>
        <v>0</v>
      </c>
      <c r="V19" s="38">
        <f>'Hazard information'!AO45</f>
        <v>0</v>
      </c>
      <c r="W19">
        <f>'Hazard information'!AQ45</f>
        <v>0</v>
      </c>
      <c r="X19">
        <f>'Hazard information'!AS45</f>
        <v>0</v>
      </c>
      <c r="Y19">
        <f>'Hazard information'!AU45</f>
        <v>0</v>
      </c>
      <c r="Z19">
        <f>'Hazard information'!AW45</f>
        <v>0</v>
      </c>
      <c r="AA19">
        <f>'Hazard information'!AY45</f>
        <v>0</v>
      </c>
      <c r="AB19">
        <f>'Hazard information'!BA45</f>
        <v>0</v>
      </c>
      <c r="AC19">
        <f>'Hazard information'!BC45</f>
        <v>0</v>
      </c>
      <c r="AD19">
        <f>'Hazard information'!BE45</f>
        <v>0</v>
      </c>
      <c r="AE19" s="37">
        <f t="shared" si="1"/>
        <v>0</v>
      </c>
    </row>
    <row r="20" spans="1:31" x14ac:dyDescent="0.3">
      <c r="A20" t="str">
        <f>'Hazard information'!A46</f>
        <v>Other - Space Objects</v>
      </c>
      <c r="B20">
        <f>'Hazard information'!F46</f>
        <v>0</v>
      </c>
      <c r="C20">
        <f>'Hazard information'!H46</f>
        <v>0</v>
      </c>
      <c r="D20" t="e">
        <f>'Hazard information'!J46</f>
        <v>#N/A</v>
      </c>
      <c r="E20" t="e">
        <f>'Hazard information'!L46</f>
        <v>#N/A</v>
      </c>
      <c r="F20">
        <f>'Hazard information'!N46</f>
        <v>0</v>
      </c>
      <c r="G20">
        <f>'Hazard information'!P46</f>
        <v>0</v>
      </c>
      <c r="H20">
        <f>'Hazard information'!R46</f>
        <v>0</v>
      </c>
      <c r="I20">
        <f>'Hazard information'!T46</f>
        <v>0</v>
      </c>
      <c r="J20">
        <f>'Hazard information'!V46</f>
        <v>0</v>
      </c>
      <c r="K20">
        <f>'Hazard information'!X46</f>
        <v>0</v>
      </c>
      <c r="L20" s="37" t="e">
        <f t="shared" si="2"/>
        <v>#N/A</v>
      </c>
      <c r="M20">
        <f>'Hazard information'!Z46</f>
        <v>0</v>
      </c>
      <c r="N20">
        <f>'Hazard information'!AB46</f>
        <v>0</v>
      </c>
      <c r="O20">
        <f>'Hazard information'!AD46</f>
        <v>0</v>
      </c>
      <c r="P20">
        <f>'Hazard information'!AF46</f>
        <v>0</v>
      </c>
      <c r="Q20">
        <f>'Hazard information'!AH46</f>
        <v>0</v>
      </c>
      <c r="R20">
        <f>'Hazard information'!AJ46</f>
        <v>0</v>
      </c>
      <c r="S20">
        <f>'Hazard information'!AL46</f>
        <v>0</v>
      </c>
      <c r="T20">
        <f>'Hazard information'!AN46</f>
        <v>0</v>
      </c>
      <c r="U20" s="37">
        <f t="shared" si="0"/>
        <v>0</v>
      </c>
      <c r="V20" s="38">
        <f>'Hazard information'!AO46</f>
        <v>0</v>
      </c>
      <c r="W20">
        <f>'Hazard information'!AQ46</f>
        <v>0</v>
      </c>
      <c r="X20">
        <f>'Hazard information'!AS46</f>
        <v>0</v>
      </c>
      <c r="Y20">
        <f>'Hazard information'!AU46</f>
        <v>0</v>
      </c>
      <c r="Z20">
        <f>'Hazard information'!AW46</f>
        <v>0</v>
      </c>
      <c r="AA20">
        <f>'Hazard information'!AY46</f>
        <v>0</v>
      </c>
      <c r="AB20">
        <f>'Hazard information'!BA46</f>
        <v>0</v>
      </c>
      <c r="AC20">
        <f>'Hazard information'!BC46</f>
        <v>0</v>
      </c>
      <c r="AD20">
        <f>'Hazard information'!BE46</f>
        <v>0</v>
      </c>
      <c r="AE20" s="37">
        <f t="shared" si="1"/>
        <v>0</v>
      </c>
    </row>
    <row r="21" spans="1:31" x14ac:dyDescent="0.3">
      <c r="A21" t="str">
        <f>'Hazard information'!A50</f>
        <v>Structural Failure - Bridge Failure</v>
      </c>
      <c r="B21">
        <f>'Hazard information'!F50</f>
        <v>0</v>
      </c>
      <c r="C21">
        <f>'Hazard information'!H50</f>
        <v>0</v>
      </c>
      <c r="D21" t="e">
        <f>'Hazard information'!J50</f>
        <v>#N/A</v>
      </c>
      <c r="E21" t="e">
        <f>'Hazard information'!L50</f>
        <v>#N/A</v>
      </c>
      <c r="F21">
        <f>'Hazard information'!N50</f>
        <v>0</v>
      </c>
      <c r="G21">
        <f>'Hazard information'!P50</f>
        <v>0</v>
      </c>
      <c r="H21">
        <f>'Hazard information'!R50</f>
        <v>0</v>
      </c>
      <c r="I21">
        <f>'Hazard information'!T50</f>
        <v>0</v>
      </c>
      <c r="J21">
        <f>'Hazard information'!V50</f>
        <v>0</v>
      </c>
      <c r="K21">
        <f>'Hazard information'!X50</f>
        <v>0</v>
      </c>
      <c r="L21" s="37" t="e">
        <f t="shared" si="2"/>
        <v>#N/A</v>
      </c>
      <c r="M21">
        <f>'Hazard information'!Z50</f>
        <v>0</v>
      </c>
      <c r="N21">
        <f>'Hazard information'!AB50</f>
        <v>0</v>
      </c>
      <c r="O21">
        <f>'Hazard information'!AD50</f>
        <v>0</v>
      </c>
      <c r="P21">
        <f>'Hazard information'!AF50</f>
        <v>0</v>
      </c>
      <c r="Q21">
        <f>'Hazard information'!AH50</f>
        <v>0</v>
      </c>
      <c r="R21">
        <f>'Hazard information'!AJ50</f>
        <v>0</v>
      </c>
      <c r="S21">
        <f>'Hazard information'!AL50</f>
        <v>0</v>
      </c>
      <c r="T21">
        <f>'Hazard information'!AN50</f>
        <v>0</v>
      </c>
      <c r="U21" s="37">
        <f t="shared" si="0"/>
        <v>0</v>
      </c>
      <c r="V21" s="38">
        <f>'Hazard information'!AO50</f>
        <v>0</v>
      </c>
      <c r="W21">
        <f>'Hazard information'!AQ50</f>
        <v>0</v>
      </c>
      <c r="X21">
        <f>'Hazard information'!AS50</f>
        <v>0</v>
      </c>
      <c r="Y21">
        <f>'Hazard information'!AU50</f>
        <v>0</v>
      </c>
      <c r="Z21">
        <f>'Hazard information'!AW50</f>
        <v>0</v>
      </c>
      <c r="AA21">
        <f>'Hazard information'!AY50</f>
        <v>0</v>
      </c>
      <c r="AB21">
        <f>'Hazard information'!BA50</f>
        <v>0</v>
      </c>
      <c r="AC21">
        <f>'Hazard information'!BC50</f>
        <v>0</v>
      </c>
      <c r="AD21">
        <f>'Hazard information'!BE50</f>
        <v>0</v>
      </c>
      <c r="AE21" s="37">
        <f t="shared" si="1"/>
        <v>0</v>
      </c>
    </row>
    <row r="22" spans="1:31" x14ac:dyDescent="0.3">
      <c r="A22" t="str">
        <f>'Hazard information'!A51</f>
        <v>Structural Failure - Building Failure</v>
      </c>
      <c r="B22">
        <f>'Hazard information'!F51</f>
        <v>0</v>
      </c>
      <c r="C22">
        <f>'Hazard information'!H51</f>
        <v>0</v>
      </c>
      <c r="D22" t="e">
        <f>'Hazard information'!J51</f>
        <v>#N/A</v>
      </c>
      <c r="E22" t="e">
        <f>'Hazard information'!L51</f>
        <v>#N/A</v>
      </c>
      <c r="F22">
        <f>'Hazard information'!N51</f>
        <v>0</v>
      </c>
      <c r="G22">
        <f>'Hazard information'!P51</f>
        <v>0</v>
      </c>
      <c r="H22">
        <f>'Hazard information'!R51</f>
        <v>0</v>
      </c>
      <c r="I22">
        <f>'Hazard information'!T51</f>
        <v>0</v>
      </c>
      <c r="J22">
        <f>'Hazard information'!V51</f>
        <v>0</v>
      </c>
      <c r="K22">
        <f>'Hazard information'!X51</f>
        <v>0</v>
      </c>
      <c r="L22" s="37" t="e">
        <f t="shared" si="2"/>
        <v>#N/A</v>
      </c>
      <c r="M22">
        <f>'Hazard information'!Z51</f>
        <v>0</v>
      </c>
      <c r="N22">
        <f>'Hazard information'!AB51</f>
        <v>0</v>
      </c>
      <c r="O22">
        <f>'Hazard information'!AD51</f>
        <v>0</v>
      </c>
      <c r="P22">
        <f>'Hazard information'!AF51</f>
        <v>0</v>
      </c>
      <c r="Q22">
        <f>'Hazard information'!AH51</f>
        <v>0</v>
      </c>
      <c r="R22">
        <f>'Hazard information'!AJ51</f>
        <v>0</v>
      </c>
      <c r="S22">
        <f>'Hazard information'!AL51</f>
        <v>0</v>
      </c>
      <c r="T22">
        <f>'Hazard information'!AN51</f>
        <v>0</v>
      </c>
      <c r="U22" s="37">
        <f t="shared" si="0"/>
        <v>0</v>
      </c>
      <c r="V22" s="38">
        <f>'Hazard information'!AO51</f>
        <v>0</v>
      </c>
      <c r="W22">
        <f>'Hazard information'!AQ51</f>
        <v>0</v>
      </c>
      <c r="X22">
        <f>'Hazard information'!AS51</f>
        <v>0</v>
      </c>
      <c r="Y22">
        <f>'Hazard information'!AU51</f>
        <v>0</v>
      </c>
      <c r="Z22">
        <f>'Hazard information'!AW51</f>
        <v>0</v>
      </c>
      <c r="AA22">
        <f>'Hazard information'!AY51</f>
        <v>0</v>
      </c>
      <c r="AB22">
        <f>'Hazard information'!BA51</f>
        <v>0</v>
      </c>
      <c r="AC22">
        <f>'Hazard information'!BC51</f>
        <v>0</v>
      </c>
      <c r="AD22">
        <f>'Hazard information'!BE51</f>
        <v>0</v>
      </c>
      <c r="AE22" s="37">
        <f t="shared" si="1"/>
        <v>0</v>
      </c>
    </row>
    <row r="23" spans="1:31" x14ac:dyDescent="0.3">
      <c r="A23" t="str">
        <f>'Hazard information'!A52</f>
        <v>Structural Failure - Dam failure</v>
      </c>
      <c r="B23">
        <f>'Hazard information'!F52</f>
        <v>0</v>
      </c>
      <c r="C23">
        <f>'Hazard information'!H52</f>
        <v>0</v>
      </c>
      <c r="D23" t="e">
        <f>'Hazard information'!J52</f>
        <v>#N/A</v>
      </c>
      <c r="E23" t="e">
        <f>'Hazard information'!L52</f>
        <v>#N/A</v>
      </c>
      <c r="F23">
        <f>'Hazard information'!N52</f>
        <v>0</v>
      </c>
      <c r="G23">
        <f>'Hazard information'!P52</f>
        <v>0</v>
      </c>
      <c r="H23">
        <f>'Hazard information'!R52</f>
        <v>0</v>
      </c>
      <c r="I23">
        <f>'Hazard information'!T52</f>
        <v>0</v>
      </c>
      <c r="J23">
        <f>'Hazard information'!V52</f>
        <v>0</v>
      </c>
      <c r="K23">
        <f>'Hazard information'!X52</f>
        <v>0</v>
      </c>
      <c r="L23" s="37" t="e">
        <f t="shared" si="2"/>
        <v>#N/A</v>
      </c>
      <c r="M23">
        <f>'Hazard information'!Z52</f>
        <v>0</v>
      </c>
      <c r="N23">
        <f>'Hazard information'!AB52</f>
        <v>0</v>
      </c>
      <c r="O23">
        <f>'Hazard information'!AD52</f>
        <v>0</v>
      </c>
      <c r="P23">
        <f>'Hazard information'!AF52</f>
        <v>0</v>
      </c>
      <c r="Q23">
        <f>'Hazard information'!AH52</f>
        <v>0</v>
      </c>
      <c r="R23">
        <f>'Hazard information'!AJ52</f>
        <v>0</v>
      </c>
      <c r="S23">
        <f>'Hazard information'!AL52</f>
        <v>0</v>
      </c>
      <c r="T23">
        <f>'Hazard information'!AN52</f>
        <v>0</v>
      </c>
      <c r="U23" s="37">
        <f t="shared" si="0"/>
        <v>0</v>
      </c>
      <c r="V23" s="38">
        <f>'Hazard information'!AO52</f>
        <v>0</v>
      </c>
      <c r="W23">
        <f>'Hazard information'!AQ52</f>
        <v>0</v>
      </c>
      <c r="X23">
        <f>'Hazard information'!AS52</f>
        <v>0</v>
      </c>
      <c r="Y23">
        <f>'Hazard information'!AU52</f>
        <v>0</v>
      </c>
      <c r="Z23">
        <f>'Hazard information'!AW52</f>
        <v>0</v>
      </c>
      <c r="AA23">
        <f>'Hazard information'!AY52</f>
        <v>0</v>
      </c>
      <c r="AB23">
        <f>'Hazard information'!BA52</f>
        <v>0</v>
      </c>
      <c r="AC23">
        <f>'Hazard information'!BC52</f>
        <v>0</v>
      </c>
      <c r="AD23">
        <f>'Hazard information'!BE52</f>
        <v>0</v>
      </c>
      <c r="AE23" s="37">
        <f t="shared" si="1"/>
        <v>0</v>
      </c>
    </row>
    <row r="24" spans="1:31" x14ac:dyDescent="0.3">
      <c r="A24" t="str">
        <f>'Hazard information'!A53</f>
        <v>Transport Hazards - Air Transportation</v>
      </c>
      <c r="B24">
        <f>'Hazard information'!F53</f>
        <v>0</v>
      </c>
      <c r="C24">
        <f>'Hazard information'!H53</f>
        <v>0</v>
      </c>
      <c r="D24" t="e">
        <f>'Hazard information'!J53</f>
        <v>#N/A</v>
      </c>
      <c r="E24" t="e">
        <f>'Hazard information'!L53</f>
        <v>#N/A</v>
      </c>
      <c r="F24">
        <f>'Hazard information'!N53</f>
        <v>0</v>
      </c>
      <c r="G24">
        <f>'Hazard information'!P53</f>
        <v>0</v>
      </c>
      <c r="H24">
        <f>'Hazard information'!R53</f>
        <v>0</v>
      </c>
      <c r="I24">
        <f>'Hazard information'!T53</f>
        <v>0</v>
      </c>
      <c r="J24">
        <f>'Hazard information'!V53</f>
        <v>0</v>
      </c>
      <c r="K24">
        <f>'Hazard information'!X53</f>
        <v>0</v>
      </c>
      <c r="L24" s="37" t="e">
        <f t="shared" si="2"/>
        <v>#N/A</v>
      </c>
      <c r="M24">
        <f>'Hazard information'!Z53</f>
        <v>0</v>
      </c>
      <c r="N24">
        <f>'Hazard information'!AB53</f>
        <v>0</v>
      </c>
      <c r="O24">
        <f>'Hazard information'!AD53</f>
        <v>0</v>
      </c>
      <c r="P24">
        <f>'Hazard information'!AF53</f>
        <v>0</v>
      </c>
      <c r="Q24">
        <f>'Hazard information'!AH53</f>
        <v>0</v>
      </c>
      <c r="R24">
        <f>'Hazard information'!AJ53</f>
        <v>0</v>
      </c>
      <c r="S24">
        <f>'Hazard information'!AL53</f>
        <v>0</v>
      </c>
      <c r="T24">
        <f>'Hazard information'!AN53</f>
        <v>0</v>
      </c>
      <c r="U24" s="37">
        <f t="shared" si="0"/>
        <v>0</v>
      </c>
      <c r="V24" s="38">
        <f>'Hazard information'!AO53</f>
        <v>0</v>
      </c>
      <c r="W24">
        <f>'Hazard information'!AQ53</f>
        <v>0</v>
      </c>
      <c r="X24">
        <f>'Hazard information'!AS53</f>
        <v>0</v>
      </c>
      <c r="Y24">
        <f>'Hazard information'!AU53</f>
        <v>0</v>
      </c>
      <c r="Z24">
        <f>'Hazard information'!AW53</f>
        <v>0</v>
      </c>
      <c r="AA24">
        <f>'Hazard information'!AY53</f>
        <v>0</v>
      </c>
      <c r="AB24">
        <f>'Hazard information'!BA53</f>
        <v>0</v>
      </c>
      <c r="AC24">
        <f>'Hazard information'!BC53</f>
        <v>0</v>
      </c>
      <c r="AD24">
        <f>'Hazard information'!BE53</f>
        <v>0</v>
      </c>
      <c r="AE24" s="37">
        <f t="shared" si="1"/>
        <v>0</v>
      </c>
    </row>
    <row r="25" spans="1:31" x14ac:dyDescent="0.3">
      <c r="A25" t="str">
        <f>'Hazard information'!A54</f>
        <v>Transport Hazards - Rail Transportation</v>
      </c>
      <c r="B25">
        <f>'Hazard information'!F54</f>
        <v>0</v>
      </c>
      <c r="C25">
        <f>'Hazard information'!H54</f>
        <v>0</v>
      </c>
      <c r="D25" t="e">
        <f>'Hazard information'!J54</f>
        <v>#N/A</v>
      </c>
      <c r="E25" t="e">
        <f>'Hazard information'!L54</f>
        <v>#N/A</v>
      </c>
      <c r="F25">
        <f>'Hazard information'!N54</f>
        <v>0</v>
      </c>
      <c r="G25">
        <f>'Hazard information'!P54</f>
        <v>0</v>
      </c>
      <c r="H25">
        <f>'Hazard information'!R54</f>
        <v>0</v>
      </c>
      <c r="I25">
        <f>'Hazard information'!T54</f>
        <v>0</v>
      </c>
      <c r="J25">
        <f>'Hazard information'!V54</f>
        <v>0</v>
      </c>
      <c r="K25">
        <f>'Hazard information'!X54</f>
        <v>0</v>
      </c>
      <c r="L25" s="37" t="e">
        <f t="shared" si="2"/>
        <v>#N/A</v>
      </c>
      <c r="M25">
        <f>'Hazard information'!Z54</f>
        <v>0</v>
      </c>
      <c r="N25">
        <f>'Hazard information'!AB54</f>
        <v>0</v>
      </c>
      <c r="O25">
        <f>'Hazard information'!AD54</f>
        <v>0</v>
      </c>
      <c r="P25">
        <f>'Hazard information'!AF54</f>
        <v>0</v>
      </c>
      <c r="Q25">
        <f>'Hazard information'!AH54</f>
        <v>0</v>
      </c>
      <c r="R25">
        <f>'Hazard information'!AJ54</f>
        <v>0</v>
      </c>
      <c r="S25">
        <f>'Hazard information'!AL54</f>
        <v>0</v>
      </c>
      <c r="T25">
        <f>'Hazard information'!AN54</f>
        <v>0</v>
      </c>
      <c r="U25" s="37">
        <f t="shared" si="0"/>
        <v>0</v>
      </c>
      <c r="V25" s="38">
        <f>'Hazard information'!AO54</f>
        <v>0</v>
      </c>
      <c r="W25">
        <f>'Hazard information'!AQ54</f>
        <v>0</v>
      </c>
      <c r="X25">
        <f>'Hazard information'!AS54</f>
        <v>0</v>
      </c>
      <c r="Y25">
        <f>'Hazard information'!AU54</f>
        <v>0</v>
      </c>
      <c r="Z25">
        <f>'Hazard information'!AW54</f>
        <v>0</v>
      </c>
      <c r="AA25">
        <f>'Hazard information'!AY54</f>
        <v>0</v>
      </c>
      <c r="AB25">
        <f>'Hazard information'!BA54</f>
        <v>0</v>
      </c>
      <c r="AC25">
        <f>'Hazard information'!BC54</f>
        <v>0</v>
      </c>
      <c r="AD25">
        <f>'Hazard information'!BE54</f>
        <v>0</v>
      </c>
      <c r="AE25" s="37">
        <f t="shared" si="1"/>
        <v>0</v>
      </c>
    </row>
    <row r="26" spans="1:31" x14ac:dyDescent="0.3">
      <c r="A26" t="str">
        <f>'Hazard information'!A55</f>
        <v>Transport Hazards - Road Transportation</v>
      </c>
      <c r="B26">
        <f>'Hazard information'!F55</f>
        <v>0</v>
      </c>
      <c r="C26">
        <f>'Hazard information'!H55</f>
        <v>0</v>
      </c>
      <c r="D26" t="e">
        <f>'Hazard information'!J55</f>
        <v>#N/A</v>
      </c>
      <c r="E26" t="e">
        <f>'Hazard information'!L55</f>
        <v>#N/A</v>
      </c>
      <c r="F26">
        <f>'Hazard information'!N55</f>
        <v>0</v>
      </c>
      <c r="G26">
        <f>'Hazard information'!P55</f>
        <v>0</v>
      </c>
      <c r="H26">
        <f>'Hazard information'!R55</f>
        <v>0</v>
      </c>
      <c r="I26">
        <f>'Hazard information'!T55</f>
        <v>0</v>
      </c>
      <c r="J26">
        <f>'Hazard information'!V55</f>
        <v>0</v>
      </c>
      <c r="K26">
        <f>'Hazard information'!X55</f>
        <v>0</v>
      </c>
      <c r="L26" s="37" t="e">
        <f t="shared" si="2"/>
        <v>#N/A</v>
      </c>
      <c r="M26">
        <f>'Hazard information'!Z55</f>
        <v>0</v>
      </c>
      <c r="N26">
        <f>'Hazard information'!AB55</f>
        <v>0</v>
      </c>
      <c r="O26">
        <f>'Hazard information'!AD55</f>
        <v>0</v>
      </c>
      <c r="P26">
        <f>'Hazard information'!AF55</f>
        <v>0</v>
      </c>
      <c r="Q26">
        <f>'Hazard information'!AH55</f>
        <v>0</v>
      </c>
      <c r="R26">
        <f>'Hazard information'!AJ55</f>
        <v>0</v>
      </c>
      <c r="S26">
        <f>'Hazard information'!AL55</f>
        <v>0</v>
      </c>
      <c r="T26">
        <f>'Hazard information'!AN55</f>
        <v>0</v>
      </c>
      <c r="U26" s="37">
        <f t="shared" si="0"/>
        <v>0</v>
      </c>
      <c r="V26" s="38">
        <f>'Hazard information'!AO55</f>
        <v>0</v>
      </c>
      <c r="W26">
        <f>'Hazard information'!AQ55</f>
        <v>0</v>
      </c>
      <c r="X26">
        <f>'Hazard information'!AS55</f>
        <v>0</v>
      </c>
      <c r="Y26">
        <f>'Hazard information'!AU55</f>
        <v>0</v>
      </c>
      <c r="Z26">
        <f>'Hazard information'!AW55</f>
        <v>0</v>
      </c>
      <c r="AA26">
        <f>'Hazard information'!AY55</f>
        <v>0</v>
      </c>
      <c r="AB26">
        <f>'Hazard information'!BA55</f>
        <v>0</v>
      </c>
      <c r="AC26">
        <f>'Hazard information'!BC55</f>
        <v>0</v>
      </c>
      <c r="AD26">
        <f>'Hazard information'!BE55</f>
        <v>0</v>
      </c>
      <c r="AE26" s="37">
        <f t="shared" si="1"/>
        <v>0</v>
      </c>
    </row>
    <row r="27" spans="1:31" x14ac:dyDescent="0.3">
      <c r="A27" t="str">
        <f>'Hazard information'!A56</f>
        <v>Transport Hazards - Water Transportation (Incl Marine Accident)</v>
      </c>
      <c r="B27">
        <f>'Hazard information'!F56</f>
        <v>0</v>
      </c>
      <c r="C27">
        <f>'Hazard information'!H56</f>
        <v>0</v>
      </c>
      <c r="D27" t="e">
        <f>'Hazard information'!J56</f>
        <v>#N/A</v>
      </c>
      <c r="E27" t="e">
        <f>'Hazard information'!L56</f>
        <v>#N/A</v>
      </c>
      <c r="F27">
        <f>'Hazard information'!N56</f>
        <v>0</v>
      </c>
      <c r="G27">
        <f>'Hazard information'!P56</f>
        <v>0</v>
      </c>
      <c r="H27">
        <f>'Hazard information'!R56</f>
        <v>0</v>
      </c>
      <c r="I27">
        <f>'Hazard information'!T56</f>
        <v>0</v>
      </c>
      <c r="J27">
        <f>'Hazard information'!V56</f>
        <v>0</v>
      </c>
      <c r="K27">
        <f>'Hazard information'!X56</f>
        <v>0</v>
      </c>
      <c r="L27" s="37" t="e">
        <f t="shared" si="2"/>
        <v>#N/A</v>
      </c>
      <c r="M27">
        <f>'Hazard information'!Z56</f>
        <v>0</v>
      </c>
      <c r="N27">
        <f>'Hazard information'!AB56</f>
        <v>0</v>
      </c>
      <c r="O27">
        <f>'Hazard information'!AD56</f>
        <v>0</v>
      </c>
      <c r="P27">
        <f>'Hazard information'!AF56</f>
        <v>0</v>
      </c>
      <c r="Q27">
        <f>'Hazard information'!AH56</f>
        <v>0</v>
      </c>
      <c r="R27">
        <f>'Hazard information'!AJ56</f>
        <v>0</v>
      </c>
      <c r="S27">
        <f>'Hazard information'!AL56</f>
        <v>0</v>
      </c>
      <c r="T27">
        <f>'Hazard information'!AN56</f>
        <v>0</v>
      </c>
      <c r="U27" s="37">
        <f t="shared" si="0"/>
        <v>0</v>
      </c>
      <c r="V27" s="38">
        <f>'Hazard information'!AO56</f>
        <v>0</v>
      </c>
      <c r="W27">
        <f>'Hazard information'!AQ56</f>
        <v>0</v>
      </c>
      <c r="X27">
        <f>'Hazard information'!AS56</f>
        <v>0</v>
      </c>
      <c r="Y27">
        <f>'Hazard information'!AU56</f>
        <v>0</v>
      </c>
      <c r="Z27">
        <f>'Hazard information'!AW56</f>
        <v>0</v>
      </c>
      <c r="AA27">
        <f>'Hazard information'!AY56</f>
        <v>0</v>
      </c>
      <c r="AB27">
        <f>'Hazard information'!BA56</f>
        <v>0</v>
      </c>
      <c r="AC27">
        <f>'Hazard information'!BC56</f>
        <v>0</v>
      </c>
      <c r="AD27">
        <f>'Hazard information'!BE56</f>
        <v>0</v>
      </c>
      <c r="AE27" s="37">
        <f t="shared" si="1"/>
        <v>0</v>
      </c>
    </row>
    <row r="28" spans="1:31" x14ac:dyDescent="0.3">
      <c r="A28" t="str">
        <f>'Hazard information'!A10</f>
        <v>Disease / Health - Disease: Human</v>
      </c>
      <c r="B28">
        <f>'Hazard information'!F10</f>
        <v>0</v>
      </c>
      <c r="C28">
        <f>'Hazard information'!H10</f>
        <v>0</v>
      </c>
      <c r="D28" t="e">
        <f>'Hazard information'!J10</f>
        <v>#N/A</v>
      </c>
      <c r="E28" t="e">
        <f>'Hazard information'!L10</f>
        <v>#N/A</v>
      </c>
      <c r="F28">
        <f>'Hazard information'!N10</f>
        <v>0</v>
      </c>
      <c r="G28">
        <f>'Hazard information'!P10</f>
        <v>0</v>
      </c>
      <c r="H28">
        <f>'Hazard information'!R10</f>
        <v>0</v>
      </c>
      <c r="I28">
        <f>'Hazard information'!T10</f>
        <v>0</v>
      </c>
      <c r="J28">
        <f>'Hazard information'!V10</f>
        <v>0</v>
      </c>
      <c r="K28">
        <f>'Hazard information'!X10</f>
        <v>0</v>
      </c>
      <c r="L28" s="37" t="e">
        <f t="shared" si="2"/>
        <v>#N/A</v>
      </c>
      <c r="M28">
        <f>'Hazard information'!Z10</f>
        <v>0</v>
      </c>
      <c r="N28">
        <f>'Hazard information'!AB10</f>
        <v>0</v>
      </c>
      <c r="O28">
        <f>'Hazard information'!AD10</f>
        <v>0</v>
      </c>
      <c r="P28">
        <f>'Hazard information'!AF10</f>
        <v>0</v>
      </c>
      <c r="Q28">
        <f>'Hazard information'!AH10</f>
        <v>0</v>
      </c>
      <c r="R28">
        <f>'Hazard information'!AJ10</f>
        <v>0</v>
      </c>
      <c r="S28">
        <f>'Hazard information'!AL10</f>
        <v>0</v>
      </c>
      <c r="T28">
        <f>'Hazard information'!AN10</f>
        <v>0</v>
      </c>
      <c r="U28" s="37">
        <f t="shared" si="0"/>
        <v>0</v>
      </c>
      <c r="V28" s="38">
        <f>'Hazard information'!AO10</f>
        <v>0</v>
      </c>
      <c r="W28">
        <f>'Hazard information'!AQ10</f>
        <v>0</v>
      </c>
      <c r="X28">
        <f>'Hazard information'!AS10</f>
        <v>0</v>
      </c>
      <c r="Y28">
        <f>'Hazard information'!AU10</f>
        <v>0</v>
      </c>
      <c r="Z28">
        <f>'Hazard information'!AW10</f>
        <v>0</v>
      </c>
      <c r="AA28">
        <f>'Hazard information'!AY10</f>
        <v>0</v>
      </c>
      <c r="AB28">
        <f>'Hazard information'!BA10</f>
        <v>0</v>
      </c>
      <c r="AC28">
        <f>'Hazard information'!BC10</f>
        <v>0</v>
      </c>
      <c r="AD28">
        <f>'Hazard information'!BE10</f>
        <v>0</v>
      </c>
      <c r="AE28" s="37">
        <f t="shared" si="1"/>
        <v>0</v>
      </c>
    </row>
    <row r="29" spans="1:31" x14ac:dyDescent="0.3">
      <c r="A29" t="str">
        <f>'Hazard information'!A33</f>
        <v>Infrastructure Failure / Service Delivery Failure - Electrical</v>
      </c>
      <c r="B29">
        <f>'Hazard information'!F33</f>
        <v>0</v>
      </c>
      <c r="C29">
        <f>'Hazard information'!H33</f>
        <v>0</v>
      </c>
      <c r="D29" t="e">
        <f>'Hazard information'!J33</f>
        <v>#N/A</v>
      </c>
      <c r="E29" t="e">
        <f>'Hazard information'!L33</f>
        <v>#N/A</v>
      </c>
      <c r="F29">
        <f>'Hazard information'!N33</f>
        <v>0</v>
      </c>
      <c r="G29">
        <f>'Hazard information'!P33</f>
        <v>0</v>
      </c>
      <c r="H29">
        <f>'Hazard information'!R33</f>
        <v>0</v>
      </c>
      <c r="I29">
        <f>'Hazard information'!T33</f>
        <v>0</v>
      </c>
      <c r="J29">
        <f>'Hazard information'!V33</f>
        <v>0</v>
      </c>
      <c r="K29">
        <f>'Hazard information'!X33</f>
        <v>0</v>
      </c>
      <c r="L29" s="37" t="e">
        <f t="shared" si="2"/>
        <v>#N/A</v>
      </c>
      <c r="M29">
        <f>'Hazard information'!Z33</f>
        <v>0</v>
      </c>
      <c r="N29">
        <f>'Hazard information'!AB33</f>
        <v>0</v>
      </c>
      <c r="O29">
        <f>'Hazard information'!AD33</f>
        <v>0</v>
      </c>
      <c r="P29">
        <f>'Hazard information'!AF33</f>
        <v>0</v>
      </c>
      <c r="Q29">
        <f>'Hazard information'!AH33</f>
        <v>0</v>
      </c>
      <c r="R29">
        <f>'Hazard information'!AJ33</f>
        <v>0</v>
      </c>
      <c r="S29">
        <f>'Hazard information'!AL33</f>
        <v>0</v>
      </c>
      <c r="T29">
        <f>'Hazard information'!AN33</f>
        <v>0</v>
      </c>
      <c r="U29" s="37">
        <f t="shared" si="0"/>
        <v>0</v>
      </c>
      <c r="V29" s="38">
        <f>'Hazard information'!AO33</f>
        <v>0</v>
      </c>
      <c r="W29">
        <f>'Hazard information'!AQ33</f>
        <v>0</v>
      </c>
      <c r="X29">
        <f>'Hazard information'!AS33</f>
        <v>0</v>
      </c>
      <c r="Y29">
        <f>'Hazard information'!AU33</f>
        <v>0</v>
      </c>
      <c r="Z29">
        <f>'Hazard information'!AW33</f>
        <v>0</v>
      </c>
      <c r="AA29">
        <f>'Hazard information'!AY33</f>
        <v>0</v>
      </c>
      <c r="AB29">
        <f>'Hazard information'!BA33</f>
        <v>0</v>
      </c>
      <c r="AC29">
        <f>'Hazard information'!BC33</f>
        <v>0</v>
      </c>
      <c r="AD29">
        <f>'Hazard information'!BE33</f>
        <v>0</v>
      </c>
      <c r="AE29" s="37">
        <f t="shared" si="1"/>
        <v>0</v>
      </c>
    </row>
    <row r="30" spans="1:31" x14ac:dyDescent="0.3">
      <c r="A30" t="str">
        <f>'Hazard information'!A35</f>
        <v>Infrastructure Failure / Service Delivery Failure - Information Technology</v>
      </c>
      <c r="B30">
        <f>'Hazard information'!F35</f>
        <v>0</v>
      </c>
      <c r="C30">
        <f>'Hazard information'!H35</f>
        <v>0</v>
      </c>
      <c r="D30" t="e">
        <f>'Hazard information'!J35</f>
        <v>#N/A</v>
      </c>
      <c r="E30" t="e">
        <f>'Hazard information'!L35</f>
        <v>#N/A</v>
      </c>
      <c r="F30">
        <f>'Hazard information'!N35</f>
        <v>0</v>
      </c>
      <c r="G30">
        <f>'Hazard information'!P35</f>
        <v>0</v>
      </c>
      <c r="H30">
        <f>'Hazard information'!R35</f>
        <v>0</v>
      </c>
      <c r="I30">
        <f>'Hazard information'!T35</f>
        <v>0</v>
      </c>
      <c r="J30">
        <f>'Hazard information'!V35</f>
        <v>0</v>
      </c>
      <c r="K30">
        <f>'Hazard information'!X35</f>
        <v>0</v>
      </c>
      <c r="L30" s="37" t="e">
        <f t="shared" si="2"/>
        <v>#N/A</v>
      </c>
      <c r="M30">
        <f>'Hazard information'!Z35</f>
        <v>0</v>
      </c>
      <c r="N30">
        <f>'Hazard information'!AB35</f>
        <v>0</v>
      </c>
      <c r="O30">
        <f>'Hazard information'!AD35</f>
        <v>0</v>
      </c>
      <c r="P30">
        <f>'Hazard information'!AF35</f>
        <v>0</v>
      </c>
      <c r="Q30">
        <f>'Hazard information'!AH35</f>
        <v>0</v>
      </c>
      <c r="R30">
        <f>'Hazard information'!AJ35</f>
        <v>0</v>
      </c>
      <c r="S30">
        <f>'Hazard information'!AL35</f>
        <v>0</v>
      </c>
      <c r="T30">
        <f>'Hazard information'!AN35</f>
        <v>0</v>
      </c>
      <c r="U30" s="37">
        <f t="shared" si="0"/>
        <v>0</v>
      </c>
      <c r="V30" s="38">
        <f>'Hazard information'!AO35</f>
        <v>0</v>
      </c>
      <c r="W30">
        <f>'Hazard information'!AQ35</f>
        <v>0</v>
      </c>
      <c r="X30">
        <f>'Hazard information'!AS35</f>
        <v>0</v>
      </c>
      <c r="Y30">
        <f>'Hazard information'!AU35</f>
        <v>0</v>
      </c>
      <c r="Z30">
        <f>'Hazard information'!AW35</f>
        <v>0</v>
      </c>
      <c r="AA30">
        <f>'Hazard information'!AY35</f>
        <v>0</v>
      </c>
      <c r="AB30">
        <f>'Hazard information'!BA35</f>
        <v>0</v>
      </c>
      <c r="AC30">
        <f>'Hazard information'!BC35</f>
        <v>0</v>
      </c>
      <c r="AD30">
        <f>'Hazard information'!BE35</f>
        <v>0</v>
      </c>
      <c r="AE30" s="37">
        <f t="shared" si="1"/>
        <v>0</v>
      </c>
    </row>
    <row r="31" spans="1:31" x14ac:dyDescent="0.3">
      <c r="A31" t="str">
        <f>'Hazard information'!A23</f>
        <v>Hazardous Material - Spill/Release (Storage &amp; Transportation)</v>
      </c>
      <c r="B31">
        <f>'Hazard information'!F23</f>
        <v>0</v>
      </c>
      <c r="C31">
        <f>'Hazard information'!H23</f>
        <v>0</v>
      </c>
      <c r="D31" t="e">
        <f>'Hazard information'!J23</f>
        <v>#N/A</v>
      </c>
      <c r="E31" t="e">
        <f>'Hazard information'!L23</f>
        <v>#N/A</v>
      </c>
      <c r="F31">
        <f>'Hazard information'!N23</f>
        <v>0</v>
      </c>
      <c r="G31">
        <f>'Hazard information'!P23</f>
        <v>0</v>
      </c>
      <c r="H31">
        <f>'Hazard information'!R23</f>
        <v>0</v>
      </c>
      <c r="I31">
        <f>'Hazard information'!T23</f>
        <v>0</v>
      </c>
      <c r="J31">
        <f>'Hazard information'!V23</f>
        <v>0</v>
      </c>
      <c r="K31">
        <f>'Hazard information'!X23</f>
        <v>0</v>
      </c>
      <c r="L31" s="37" t="e">
        <f t="shared" si="2"/>
        <v>#N/A</v>
      </c>
      <c r="M31">
        <f>'Hazard information'!Z23</f>
        <v>0</v>
      </c>
      <c r="N31">
        <f>'Hazard information'!AB23</f>
        <v>0</v>
      </c>
      <c r="O31">
        <f>'Hazard information'!AD23</f>
        <v>0</v>
      </c>
      <c r="P31">
        <f>'Hazard information'!AF23</f>
        <v>0</v>
      </c>
      <c r="Q31">
        <f>'Hazard information'!AH23</f>
        <v>0</v>
      </c>
      <c r="R31">
        <f>'Hazard information'!AJ23</f>
        <v>0</v>
      </c>
      <c r="S31">
        <f>'Hazard information'!AL23</f>
        <v>0</v>
      </c>
      <c r="T31">
        <f>'Hazard information'!AN23</f>
        <v>0</v>
      </c>
      <c r="U31" s="37">
        <f t="shared" si="0"/>
        <v>0</v>
      </c>
      <c r="V31" s="38">
        <f>'Hazard information'!AO23</f>
        <v>0</v>
      </c>
      <c r="W31">
        <f>'Hazard information'!AQ23</f>
        <v>0</v>
      </c>
      <c r="X31">
        <f>'Hazard information'!AS23</f>
        <v>0</v>
      </c>
      <c r="Y31">
        <f>'Hazard information'!AU23</f>
        <v>0</v>
      </c>
      <c r="Z31">
        <f>'Hazard information'!AW23</f>
        <v>0</v>
      </c>
      <c r="AA31">
        <f>'Hazard information'!AY23</f>
        <v>0</v>
      </c>
      <c r="AB31">
        <f>'Hazard information'!BA23</f>
        <v>0</v>
      </c>
      <c r="AC31">
        <f>'Hazard information'!BC23</f>
        <v>0</v>
      </c>
      <c r="AD31">
        <f>'Hazard information'!BE23</f>
        <v>0</v>
      </c>
      <c r="AE31" s="37">
        <f t="shared" si="1"/>
        <v>0</v>
      </c>
    </row>
    <row r="32" spans="1:31" x14ac:dyDescent="0.3">
      <c r="A32" t="str">
        <f>'Hazard information'!A16</f>
        <v>Fire Hazards - Formal &amp; Informal Settlements / Urban Area</v>
      </c>
      <c r="B32">
        <f>'Hazard information'!F16</f>
        <v>0</v>
      </c>
      <c r="C32">
        <f>'Hazard information'!H16</f>
        <v>0</v>
      </c>
      <c r="D32" t="e">
        <f>'Hazard information'!J16</f>
        <v>#N/A</v>
      </c>
      <c r="E32" t="e">
        <f>'Hazard information'!L16</f>
        <v>#N/A</v>
      </c>
      <c r="F32">
        <f>'Hazard information'!N16</f>
        <v>0</v>
      </c>
      <c r="G32">
        <f>'Hazard information'!P16</f>
        <v>0</v>
      </c>
      <c r="H32">
        <f>'Hazard information'!R16</f>
        <v>0</v>
      </c>
      <c r="I32">
        <f>'Hazard information'!T16</f>
        <v>0</v>
      </c>
      <c r="J32">
        <f>'Hazard information'!V16</f>
        <v>0</v>
      </c>
      <c r="K32">
        <f>'Hazard information'!X16</f>
        <v>0</v>
      </c>
      <c r="L32" s="37" t="e">
        <f t="shared" si="2"/>
        <v>#N/A</v>
      </c>
      <c r="M32">
        <f>'Hazard information'!Z16</f>
        <v>0</v>
      </c>
      <c r="N32">
        <f>'Hazard information'!AB16</f>
        <v>0</v>
      </c>
      <c r="O32">
        <f>'Hazard information'!AD16</f>
        <v>0</v>
      </c>
      <c r="P32">
        <f>'Hazard information'!AF16</f>
        <v>0</v>
      </c>
      <c r="Q32">
        <f>'Hazard information'!AH16</f>
        <v>0</v>
      </c>
      <c r="R32">
        <f>'Hazard information'!AJ16</f>
        <v>0</v>
      </c>
      <c r="S32">
        <f>'Hazard information'!AL16</f>
        <v>0</v>
      </c>
      <c r="T32">
        <f>'Hazard information'!AN16</f>
        <v>0</v>
      </c>
      <c r="U32" s="37">
        <f t="shared" si="0"/>
        <v>0</v>
      </c>
      <c r="V32" s="38">
        <f>'Hazard information'!AO16</f>
        <v>0</v>
      </c>
      <c r="W32">
        <f>'Hazard information'!AQ16</f>
        <v>0</v>
      </c>
      <c r="X32">
        <f>'Hazard information'!AS16</f>
        <v>0</v>
      </c>
      <c r="Y32">
        <f>'Hazard information'!AU16</f>
        <v>0</v>
      </c>
      <c r="Z32">
        <f>'Hazard information'!AW16</f>
        <v>0</v>
      </c>
      <c r="AA32">
        <f>'Hazard information'!AY16</f>
        <v>0</v>
      </c>
      <c r="AB32">
        <f>'Hazard information'!BA16</f>
        <v>0</v>
      </c>
      <c r="AC32">
        <f>'Hazard information'!BC16</f>
        <v>0</v>
      </c>
      <c r="AD32">
        <f>'Hazard information'!BE16</f>
        <v>0</v>
      </c>
      <c r="AE32" s="37">
        <f t="shared" si="1"/>
        <v>0</v>
      </c>
    </row>
    <row r="33" spans="1:31" x14ac:dyDescent="0.3">
      <c r="A33" t="str">
        <f>'Hazard information'!A5</f>
        <v>Civil Unrest - Demonstrations / Riots</v>
      </c>
      <c r="B33">
        <f>'Hazard information'!F5</f>
        <v>0</v>
      </c>
      <c r="C33">
        <f>'Hazard information'!H5</f>
        <v>0</v>
      </c>
      <c r="D33" t="e">
        <f>'Hazard information'!J5</f>
        <v>#N/A</v>
      </c>
      <c r="E33" t="e">
        <f>'Hazard information'!L5</f>
        <v>#N/A</v>
      </c>
      <c r="F33">
        <f>'Hazard information'!N5</f>
        <v>0</v>
      </c>
      <c r="G33">
        <f>'Hazard information'!P5</f>
        <v>0</v>
      </c>
      <c r="H33">
        <f>'Hazard information'!R5</f>
        <v>0</v>
      </c>
      <c r="I33">
        <f>'Hazard information'!T5</f>
        <v>0</v>
      </c>
      <c r="J33">
        <f>'Hazard information'!V5</f>
        <v>0</v>
      </c>
      <c r="K33">
        <f>'Hazard information'!X5</f>
        <v>0</v>
      </c>
      <c r="L33" s="37" t="e">
        <f t="shared" si="2"/>
        <v>#N/A</v>
      </c>
      <c r="M33">
        <f>'Hazard information'!Z5</f>
        <v>0</v>
      </c>
      <c r="N33">
        <f>'Hazard information'!AB5</f>
        <v>0</v>
      </c>
      <c r="O33">
        <f>'Hazard information'!AD5</f>
        <v>0</v>
      </c>
      <c r="P33">
        <f>'Hazard information'!AF5</f>
        <v>0</v>
      </c>
      <c r="Q33">
        <f>'Hazard information'!AH5</f>
        <v>0</v>
      </c>
      <c r="R33">
        <f>'Hazard information'!AJ5</f>
        <v>0</v>
      </c>
      <c r="S33">
        <f>'Hazard information'!AL5</f>
        <v>0</v>
      </c>
      <c r="T33">
        <f>'Hazard information'!AN5</f>
        <v>0</v>
      </c>
      <c r="U33" s="37">
        <f t="shared" si="0"/>
        <v>0</v>
      </c>
      <c r="V33" s="38">
        <f>'Hazard information'!AO5</f>
        <v>0</v>
      </c>
      <c r="W33">
        <f>'Hazard information'!AQ5</f>
        <v>0</v>
      </c>
      <c r="X33">
        <f>'Hazard information'!AS5</f>
        <v>0</v>
      </c>
      <c r="Y33">
        <f>'Hazard information'!AU5</f>
        <v>0</v>
      </c>
      <c r="Z33">
        <f>'Hazard information'!AW5</f>
        <v>0</v>
      </c>
      <c r="AA33">
        <f>'Hazard information'!AY5</f>
        <v>0</v>
      </c>
      <c r="AB33">
        <f>'Hazard information'!BA5</f>
        <v>0</v>
      </c>
      <c r="AC33">
        <f>'Hazard information'!BC5</f>
        <v>0</v>
      </c>
      <c r="AD33">
        <f>'Hazard information'!BE5</f>
        <v>0</v>
      </c>
      <c r="AE33" s="37">
        <f t="shared" si="1"/>
        <v>0</v>
      </c>
    </row>
    <row r="34" spans="1:31" x14ac:dyDescent="0.3">
      <c r="A34" t="str">
        <f>'Hazard information'!A25</f>
        <v>Hydro-meteorological Hazards - Desertification</v>
      </c>
      <c r="B34">
        <f>'Hazard information'!F25</f>
        <v>0</v>
      </c>
      <c r="C34">
        <f>'Hazard information'!H25</f>
        <v>0</v>
      </c>
      <c r="D34" t="e">
        <f>'Hazard information'!J25</f>
        <v>#N/A</v>
      </c>
      <c r="E34" t="e">
        <f>'Hazard information'!L25</f>
        <v>#N/A</v>
      </c>
      <c r="F34">
        <f>'Hazard information'!N25</f>
        <v>0</v>
      </c>
      <c r="G34">
        <f>'Hazard information'!P25</f>
        <v>0</v>
      </c>
      <c r="H34">
        <f>'Hazard information'!R25</f>
        <v>0</v>
      </c>
      <c r="I34">
        <f>'Hazard information'!T25</f>
        <v>0</v>
      </c>
      <c r="J34">
        <f>'Hazard information'!V25</f>
        <v>0</v>
      </c>
      <c r="K34">
        <f>'Hazard information'!X25</f>
        <v>0</v>
      </c>
      <c r="L34" s="37" t="e">
        <f t="shared" si="2"/>
        <v>#N/A</v>
      </c>
      <c r="M34">
        <f>'Hazard information'!Z25</f>
        <v>0</v>
      </c>
      <c r="N34">
        <f>'Hazard information'!AB25</f>
        <v>0</v>
      </c>
      <c r="O34">
        <f>'Hazard information'!AD25</f>
        <v>0</v>
      </c>
      <c r="P34">
        <f>'Hazard information'!AF25</f>
        <v>0</v>
      </c>
      <c r="Q34">
        <f>'Hazard information'!AH25</f>
        <v>0</v>
      </c>
      <c r="R34">
        <f>'Hazard information'!AJ25</f>
        <v>0</v>
      </c>
      <c r="S34">
        <f>'Hazard information'!AL25</f>
        <v>0</v>
      </c>
      <c r="T34">
        <f>'Hazard information'!AN25</f>
        <v>0</v>
      </c>
      <c r="U34" s="37">
        <f t="shared" si="0"/>
        <v>0</v>
      </c>
      <c r="V34" s="38">
        <f>'Hazard information'!AO25</f>
        <v>0</v>
      </c>
      <c r="W34">
        <f>'Hazard information'!AQ25</f>
        <v>0</v>
      </c>
      <c r="X34">
        <f>'Hazard information'!AS25</f>
        <v>0</v>
      </c>
      <c r="Y34">
        <f>'Hazard information'!AU25</f>
        <v>0</v>
      </c>
      <c r="Z34">
        <f>'Hazard information'!AW25</f>
        <v>0</v>
      </c>
      <c r="AA34">
        <f>'Hazard information'!AY25</f>
        <v>0</v>
      </c>
      <c r="AB34">
        <f>'Hazard information'!BA25</f>
        <v>0</v>
      </c>
      <c r="AC34">
        <f>'Hazard information'!BC25</f>
        <v>0</v>
      </c>
      <c r="AD34">
        <f>'Hazard information'!BE25</f>
        <v>0</v>
      </c>
      <c r="AE34" s="37">
        <f t="shared" si="1"/>
        <v>0</v>
      </c>
    </row>
    <row r="35" spans="1:31" x14ac:dyDescent="0.3">
      <c r="A35" t="str">
        <f>'Hazard information'!A22</f>
        <v>Hazardous Material - Fire/Explosion (Storage &amp; Transportation)</v>
      </c>
      <c r="B35">
        <f>'Hazard information'!F22</f>
        <v>0</v>
      </c>
      <c r="C35">
        <f>'Hazard information'!H22</f>
        <v>0</v>
      </c>
      <c r="D35" t="e">
        <f>'Hazard information'!J22</f>
        <v>#N/A</v>
      </c>
      <c r="E35" t="e">
        <f>'Hazard information'!L22</f>
        <v>#N/A</v>
      </c>
      <c r="F35">
        <f>'Hazard information'!N22</f>
        <v>0</v>
      </c>
      <c r="G35">
        <f>'Hazard information'!P22</f>
        <v>0</v>
      </c>
      <c r="H35">
        <f>'Hazard information'!R22</f>
        <v>0</v>
      </c>
      <c r="I35">
        <f>'Hazard information'!T22</f>
        <v>0</v>
      </c>
      <c r="J35">
        <f>'Hazard information'!V22</f>
        <v>0</v>
      </c>
      <c r="K35">
        <f>'Hazard information'!X22</f>
        <v>0</v>
      </c>
      <c r="L35" s="37" t="e">
        <f t="shared" si="2"/>
        <v>#N/A</v>
      </c>
      <c r="M35">
        <f>'Hazard information'!Z22</f>
        <v>0</v>
      </c>
      <c r="N35">
        <f>'Hazard information'!AB22</f>
        <v>0</v>
      </c>
      <c r="O35">
        <f>'Hazard information'!AD22</f>
        <v>0</v>
      </c>
      <c r="P35">
        <f>'Hazard information'!AF22</f>
        <v>0</v>
      </c>
      <c r="Q35">
        <f>'Hazard information'!AH22</f>
        <v>0</v>
      </c>
      <c r="R35">
        <f>'Hazard information'!AJ22</f>
        <v>0</v>
      </c>
      <c r="S35">
        <f>'Hazard information'!AL22</f>
        <v>0</v>
      </c>
      <c r="T35">
        <f>'Hazard information'!AN22</f>
        <v>0</v>
      </c>
      <c r="U35" s="37">
        <f t="shared" si="0"/>
        <v>0</v>
      </c>
      <c r="V35" s="38">
        <f>'Hazard information'!AO22</f>
        <v>0</v>
      </c>
      <c r="W35">
        <f>'Hazard information'!AQ22</f>
        <v>0</v>
      </c>
      <c r="X35">
        <f>'Hazard information'!AS22</f>
        <v>0</v>
      </c>
      <c r="Y35">
        <f>'Hazard information'!AU22</f>
        <v>0</v>
      </c>
      <c r="Z35">
        <f>'Hazard information'!AW22</f>
        <v>0</v>
      </c>
      <c r="AA35">
        <f>'Hazard information'!AY22</f>
        <v>0</v>
      </c>
      <c r="AB35">
        <f>'Hazard information'!BA22</f>
        <v>0</v>
      </c>
      <c r="AC35">
        <f>'Hazard information'!BC22</f>
        <v>0</v>
      </c>
      <c r="AD35">
        <f>'Hazard information'!BE22</f>
        <v>0</v>
      </c>
      <c r="AE35" s="37">
        <f t="shared" si="1"/>
        <v>0</v>
      </c>
    </row>
    <row r="36" spans="1:31" x14ac:dyDescent="0.3">
      <c r="A36" t="str">
        <f>'Hazard information'!A24</f>
        <v>Hydro-meteorological - Drought</v>
      </c>
      <c r="B36">
        <f>'Hazard information'!F24</f>
        <v>4</v>
      </c>
      <c r="C36">
        <f>'Hazard information'!H24</f>
        <v>0</v>
      </c>
      <c r="D36">
        <f>'Hazard information'!J24</f>
        <v>5</v>
      </c>
      <c r="E36">
        <f>'Hazard information'!L24</f>
        <v>0</v>
      </c>
      <c r="F36">
        <f>'Hazard information'!N24</f>
        <v>0</v>
      </c>
      <c r="G36">
        <f>'Hazard information'!P24</f>
        <v>0</v>
      </c>
      <c r="H36">
        <f>'Hazard information'!R24</f>
        <v>0</v>
      </c>
      <c r="I36">
        <f>'Hazard information'!T24</f>
        <v>0</v>
      </c>
      <c r="J36">
        <f>'Hazard information'!V24</f>
        <v>0</v>
      </c>
      <c r="K36">
        <f>'Hazard information'!X24</f>
        <v>0</v>
      </c>
      <c r="L36" s="37">
        <f t="shared" si="2"/>
        <v>9</v>
      </c>
      <c r="M36">
        <f>'Hazard information'!Z24</f>
        <v>1</v>
      </c>
      <c r="N36">
        <f>'Hazard information'!AB24</f>
        <v>0</v>
      </c>
      <c r="O36">
        <f>'Hazard information'!AD24</f>
        <v>0</v>
      </c>
      <c r="P36">
        <f>'Hazard information'!AF24</f>
        <v>0</v>
      </c>
      <c r="Q36">
        <f>'Hazard information'!AH24</f>
        <v>0</v>
      </c>
      <c r="R36">
        <f>'Hazard information'!AJ24</f>
        <v>0</v>
      </c>
      <c r="S36">
        <f>'Hazard information'!AL24</f>
        <v>0</v>
      </c>
      <c r="T36">
        <f>'Hazard information'!AN24</f>
        <v>0</v>
      </c>
      <c r="U36" s="37">
        <f t="shared" si="0"/>
        <v>1</v>
      </c>
      <c r="V36" s="38" t="str">
        <f>'Hazard information'!AO24</f>
        <v>Agriculture</v>
      </c>
      <c r="W36">
        <f>'Hazard information'!AQ24</f>
        <v>2</v>
      </c>
      <c r="X36">
        <f>'Hazard information'!AS24</f>
        <v>0</v>
      </c>
      <c r="Y36">
        <f>'Hazard information'!AU24</f>
        <v>0</v>
      </c>
      <c r="Z36">
        <f>'Hazard information'!AW24</f>
        <v>0</v>
      </c>
      <c r="AA36">
        <f>'Hazard information'!AY24</f>
        <v>0</v>
      </c>
      <c r="AB36">
        <f>'Hazard information'!BA24</f>
        <v>0</v>
      </c>
      <c r="AC36">
        <f>'Hazard information'!BC24</f>
        <v>0</v>
      </c>
      <c r="AD36">
        <f>'Hazard information'!BE24</f>
        <v>0</v>
      </c>
      <c r="AE36" s="37">
        <f t="shared" si="1"/>
        <v>2</v>
      </c>
    </row>
    <row r="37" spans="1:31" x14ac:dyDescent="0.3">
      <c r="A37" t="str">
        <f>'Hazard information'!A8</f>
        <v>Civil Unrest - Xenophobic Violence</v>
      </c>
      <c r="B37">
        <f>'Hazard information'!F8</f>
        <v>0</v>
      </c>
      <c r="C37">
        <f>'Hazard information'!H8</f>
        <v>0</v>
      </c>
      <c r="D37" t="e">
        <f>'Hazard information'!J8</f>
        <v>#N/A</v>
      </c>
      <c r="E37" t="e">
        <f>'Hazard information'!L8</f>
        <v>#N/A</v>
      </c>
      <c r="F37">
        <f>'Hazard information'!N8</f>
        <v>0</v>
      </c>
      <c r="G37">
        <f>'Hazard information'!P8</f>
        <v>0</v>
      </c>
      <c r="H37">
        <f>'Hazard information'!R8</f>
        <v>0</v>
      </c>
      <c r="I37">
        <f>'Hazard information'!T8</f>
        <v>0</v>
      </c>
      <c r="J37">
        <f>'Hazard information'!V8</f>
        <v>0</v>
      </c>
      <c r="K37">
        <f>'Hazard information'!X8</f>
        <v>0</v>
      </c>
      <c r="L37" s="37" t="e">
        <f t="shared" si="2"/>
        <v>#N/A</v>
      </c>
      <c r="M37">
        <f>'Hazard information'!Z8</f>
        <v>0</v>
      </c>
      <c r="N37">
        <f>'Hazard information'!AB8</f>
        <v>0</v>
      </c>
      <c r="O37">
        <f>'Hazard information'!AD8</f>
        <v>0</v>
      </c>
      <c r="P37">
        <f>'Hazard information'!AF8</f>
        <v>0</v>
      </c>
      <c r="Q37">
        <f>'Hazard information'!AH8</f>
        <v>0</v>
      </c>
      <c r="R37">
        <f>'Hazard information'!AJ8</f>
        <v>0</v>
      </c>
      <c r="S37">
        <f>'Hazard information'!AL8</f>
        <v>0</v>
      </c>
      <c r="T37">
        <f>'Hazard information'!AN8</f>
        <v>0</v>
      </c>
      <c r="U37" s="37">
        <f t="shared" si="0"/>
        <v>0</v>
      </c>
      <c r="V37" s="38">
        <f>'Hazard information'!AO8</f>
        <v>0</v>
      </c>
      <c r="W37">
        <f>'Hazard information'!AQ8</f>
        <v>0</v>
      </c>
      <c r="X37">
        <f>'Hazard information'!AS8</f>
        <v>0</v>
      </c>
      <c r="Y37">
        <f>'Hazard information'!AU8</f>
        <v>0</v>
      </c>
      <c r="Z37">
        <f>'Hazard information'!AW8</f>
        <v>0</v>
      </c>
      <c r="AA37">
        <f>'Hazard information'!AY8</f>
        <v>0</v>
      </c>
      <c r="AB37">
        <f>'Hazard information'!BA8</f>
        <v>0</v>
      </c>
      <c r="AC37">
        <f>'Hazard information'!BC8</f>
        <v>0</v>
      </c>
      <c r="AD37">
        <f>'Hazard information'!BE8</f>
        <v>0</v>
      </c>
      <c r="AE37" s="37">
        <f t="shared" si="1"/>
        <v>0</v>
      </c>
    </row>
    <row r="38" spans="1:31" x14ac:dyDescent="0.3">
      <c r="A38" t="str">
        <f>'Hazard information'!A43</f>
        <v>Oceanographic - Sea Level Rise (Climate Change)</v>
      </c>
      <c r="B38">
        <f>'Hazard information'!F43</f>
        <v>0</v>
      </c>
      <c r="C38">
        <f>'Hazard information'!H43</f>
        <v>0</v>
      </c>
      <c r="D38" t="e">
        <f>'Hazard information'!J43</f>
        <v>#N/A</v>
      </c>
      <c r="E38" t="e">
        <f>'Hazard information'!L43</f>
        <v>#N/A</v>
      </c>
      <c r="F38">
        <f>'Hazard information'!N43</f>
        <v>0</v>
      </c>
      <c r="G38">
        <f>'Hazard information'!P43</f>
        <v>0</v>
      </c>
      <c r="H38">
        <f>'Hazard information'!R43</f>
        <v>0</v>
      </c>
      <c r="I38">
        <f>'Hazard information'!T43</f>
        <v>0</v>
      </c>
      <c r="J38">
        <f>'Hazard information'!V43</f>
        <v>0</v>
      </c>
      <c r="K38">
        <f>'Hazard information'!X43</f>
        <v>0</v>
      </c>
      <c r="L38" s="37" t="e">
        <f t="shared" si="2"/>
        <v>#N/A</v>
      </c>
      <c r="M38">
        <f>'Hazard information'!Z43</f>
        <v>0</v>
      </c>
      <c r="N38">
        <f>'Hazard information'!AB43</f>
        <v>0</v>
      </c>
      <c r="O38">
        <f>'Hazard information'!AD43</f>
        <v>0</v>
      </c>
      <c r="P38">
        <f>'Hazard information'!AF43</f>
        <v>0</v>
      </c>
      <c r="Q38">
        <f>'Hazard information'!AH43</f>
        <v>0</v>
      </c>
      <c r="R38">
        <f>'Hazard information'!AJ43</f>
        <v>0</v>
      </c>
      <c r="S38">
        <f>'Hazard information'!AL43</f>
        <v>0</v>
      </c>
      <c r="T38">
        <f>'Hazard information'!AN43</f>
        <v>0</v>
      </c>
      <c r="U38" s="37">
        <f t="shared" si="0"/>
        <v>0</v>
      </c>
      <c r="V38" s="38">
        <f>'Hazard information'!AO43</f>
        <v>0</v>
      </c>
      <c r="W38">
        <f>'Hazard information'!AQ43</f>
        <v>0</v>
      </c>
      <c r="X38">
        <f>'Hazard information'!AS43</f>
        <v>0</v>
      </c>
      <c r="Y38">
        <f>'Hazard information'!AU43</f>
        <v>0</v>
      </c>
      <c r="Z38">
        <f>'Hazard information'!AW43</f>
        <v>0</v>
      </c>
      <c r="AA38">
        <f>'Hazard information'!AY43</f>
        <v>0</v>
      </c>
      <c r="AB38">
        <f>'Hazard information'!BA43</f>
        <v>0</v>
      </c>
      <c r="AC38">
        <f>'Hazard information'!BC43</f>
        <v>0</v>
      </c>
      <c r="AD38">
        <f>'Hazard information'!BE43</f>
        <v>0</v>
      </c>
      <c r="AE38" s="37">
        <f t="shared" si="1"/>
        <v>0</v>
      </c>
    </row>
    <row r="39" spans="1:31" x14ac:dyDescent="0.3">
      <c r="A39" t="str">
        <f>'Hazard information'!A17</f>
        <v>Fire Hazards - Veld/Forest Fires</v>
      </c>
      <c r="B39">
        <f>'Hazard information'!F17</f>
        <v>0</v>
      </c>
      <c r="C39">
        <f>'Hazard information'!H17</f>
        <v>0</v>
      </c>
      <c r="D39" t="e">
        <f>'Hazard information'!J17</f>
        <v>#N/A</v>
      </c>
      <c r="E39" t="e">
        <f>'Hazard information'!L17</f>
        <v>#N/A</v>
      </c>
      <c r="F39">
        <f>'Hazard information'!N17</f>
        <v>0</v>
      </c>
      <c r="G39">
        <f>'Hazard information'!P17</f>
        <v>0</v>
      </c>
      <c r="H39">
        <f>'Hazard information'!R17</f>
        <v>0</v>
      </c>
      <c r="I39">
        <f>'Hazard information'!T17</f>
        <v>0</v>
      </c>
      <c r="J39">
        <f>'Hazard information'!V17</f>
        <v>0</v>
      </c>
      <c r="K39">
        <f>'Hazard information'!X17</f>
        <v>0</v>
      </c>
      <c r="L39" s="37" t="e">
        <f t="shared" si="2"/>
        <v>#N/A</v>
      </c>
      <c r="M39">
        <f>'Hazard information'!Z17</f>
        <v>0</v>
      </c>
      <c r="N39">
        <f>'Hazard information'!AB17</f>
        <v>0</v>
      </c>
      <c r="O39">
        <f>'Hazard information'!AD17</f>
        <v>0</v>
      </c>
      <c r="P39">
        <f>'Hazard information'!AF17</f>
        <v>0</v>
      </c>
      <c r="Q39">
        <f>'Hazard information'!AH17</f>
        <v>0</v>
      </c>
      <c r="R39">
        <f>'Hazard information'!AJ17</f>
        <v>0</v>
      </c>
      <c r="S39">
        <f>'Hazard information'!AL17</f>
        <v>0</v>
      </c>
      <c r="T39">
        <f>'Hazard information'!AN17</f>
        <v>0</v>
      </c>
      <c r="U39" s="37">
        <f t="shared" si="0"/>
        <v>0</v>
      </c>
      <c r="V39" s="38">
        <f>'Hazard information'!AO17</f>
        <v>0</v>
      </c>
      <c r="W39">
        <f>'Hazard information'!AQ17</f>
        <v>0</v>
      </c>
      <c r="X39">
        <f>'Hazard information'!AS17</f>
        <v>0</v>
      </c>
      <c r="Y39">
        <f>'Hazard information'!AU17</f>
        <v>0</v>
      </c>
      <c r="Z39">
        <f>'Hazard information'!AW17</f>
        <v>0</v>
      </c>
      <c r="AA39">
        <f>'Hazard information'!AY17</f>
        <v>0</v>
      </c>
      <c r="AB39">
        <f>'Hazard information'!BA17</f>
        <v>0</v>
      </c>
      <c r="AC39">
        <f>'Hazard information'!BC17</f>
        <v>0</v>
      </c>
      <c r="AD39">
        <f>'Hazard information'!BE17</f>
        <v>0</v>
      </c>
      <c r="AE39" s="37">
        <f t="shared" si="1"/>
        <v>0</v>
      </c>
    </row>
    <row r="40" spans="1:31" x14ac:dyDescent="0.3">
      <c r="A40" t="str">
        <f>'Hazard information'!A36</f>
        <v>Infrastructure Failure / Service Delivery Failure - Sanitation</v>
      </c>
      <c r="B40">
        <f>'Hazard information'!F36</f>
        <v>0</v>
      </c>
      <c r="C40">
        <f>'Hazard information'!H36</f>
        <v>0</v>
      </c>
      <c r="D40" t="e">
        <f>'Hazard information'!J36</f>
        <v>#N/A</v>
      </c>
      <c r="E40" t="e">
        <f>'Hazard information'!L36</f>
        <v>#N/A</v>
      </c>
      <c r="F40">
        <f>'Hazard information'!N36</f>
        <v>0</v>
      </c>
      <c r="G40">
        <f>'Hazard information'!P36</f>
        <v>0</v>
      </c>
      <c r="H40">
        <f>'Hazard information'!R36</f>
        <v>0</v>
      </c>
      <c r="I40">
        <f>'Hazard information'!T36</f>
        <v>0</v>
      </c>
      <c r="J40">
        <f>'Hazard information'!V36</f>
        <v>0</v>
      </c>
      <c r="K40">
        <f>'Hazard information'!X36</f>
        <v>0</v>
      </c>
      <c r="L40" s="37" t="e">
        <f t="shared" si="2"/>
        <v>#N/A</v>
      </c>
      <c r="M40">
        <f>'Hazard information'!Z36</f>
        <v>0</v>
      </c>
      <c r="N40">
        <f>'Hazard information'!AB36</f>
        <v>0</v>
      </c>
      <c r="O40">
        <f>'Hazard information'!AD36</f>
        <v>0</v>
      </c>
      <c r="P40">
        <f>'Hazard information'!AF36</f>
        <v>0</v>
      </c>
      <c r="Q40">
        <f>'Hazard information'!AH36</f>
        <v>0</v>
      </c>
      <c r="R40">
        <f>'Hazard information'!AJ36</f>
        <v>0</v>
      </c>
      <c r="S40">
        <f>'Hazard information'!AL36</f>
        <v>0</v>
      </c>
      <c r="T40">
        <f>'Hazard information'!AN36</f>
        <v>0</v>
      </c>
      <c r="U40" s="37">
        <f t="shared" si="0"/>
        <v>0</v>
      </c>
      <c r="V40" s="38">
        <f>'Hazard information'!AO36</f>
        <v>0</v>
      </c>
      <c r="W40">
        <f>'Hazard information'!AQ36</f>
        <v>0</v>
      </c>
      <c r="X40">
        <f>'Hazard information'!AS36</f>
        <v>0</v>
      </c>
      <c r="Y40">
        <f>'Hazard information'!AU36</f>
        <v>0</v>
      </c>
      <c r="Z40">
        <f>'Hazard information'!AW36</f>
        <v>0</v>
      </c>
      <c r="AA40">
        <f>'Hazard information'!AY36</f>
        <v>0</v>
      </c>
      <c r="AB40">
        <f>'Hazard information'!BA36</f>
        <v>0</v>
      </c>
      <c r="AC40">
        <f>'Hazard information'!BC36</f>
        <v>0</v>
      </c>
      <c r="AD40">
        <f>'Hazard information'!BE36</f>
        <v>0</v>
      </c>
      <c r="AE40" s="37">
        <f t="shared" si="1"/>
        <v>0</v>
      </c>
    </row>
    <row r="41" spans="1:31" x14ac:dyDescent="0.3">
      <c r="A41" t="str">
        <f>'Hazard information'!A12</f>
        <v>Environmental Degradation - Deforestation</v>
      </c>
      <c r="B41">
        <f>'Hazard information'!F12</f>
        <v>0</v>
      </c>
      <c r="C41">
        <f>'Hazard information'!H12</f>
        <v>0</v>
      </c>
      <c r="D41" t="e">
        <f>'Hazard information'!J12</f>
        <v>#N/A</v>
      </c>
      <c r="E41" t="e">
        <f>'Hazard information'!L12</f>
        <v>#N/A</v>
      </c>
      <c r="F41">
        <f>'Hazard information'!N12</f>
        <v>0</v>
      </c>
      <c r="G41">
        <f>'Hazard information'!P12</f>
        <v>0</v>
      </c>
      <c r="H41">
        <f>'Hazard information'!R12</f>
        <v>0</v>
      </c>
      <c r="I41">
        <f>'Hazard information'!T12</f>
        <v>0</v>
      </c>
      <c r="J41">
        <f>'Hazard information'!V12</f>
        <v>0</v>
      </c>
      <c r="K41">
        <f>'Hazard information'!X12</f>
        <v>0</v>
      </c>
      <c r="L41" s="37" t="e">
        <f t="shared" si="2"/>
        <v>#N/A</v>
      </c>
      <c r="M41">
        <f>'Hazard information'!Z12</f>
        <v>0</v>
      </c>
      <c r="N41">
        <f>'Hazard information'!AB12</f>
        <v>0</v>
      </c>
      <c r="O41">
        <f>'Hazard information'!AD12</f>
        <v>0</v>
      </c>
      <c r="P41">
        <f>'Hazard information'!AF12</f>
        <v>0</v>
      </c>
      <c r="Q41">
        <f>'Hazard information'!AH12</f>
        <v>0</v>
      </c>
      <c r="R41">
        <f>'Hazard information'!AJ12</f>
        <v>0</v>
      </c>
      <c r="S41">
        <f>'Hazard information'!AL12</f>
        <v>0</v>
      </c>
      <c r="T41">
        <f>'Hazard information'!AN12</f>
        <v>0</v>
      </c>
      <c r="U41" s="37">
        <f t="shared" si="0"/>
        <v>0</v>
      </c>
      <c r="V41" s="38">
        <f>'Hazard information'!AO12</f>
        <v>0</v>
      </c>
      <c r="W41">
        <f>'Hazard information'!AQ12</f>
        <v>0</v>
      </c>
      <c r="X41">
        <f>'Hazard information'!AS12</f>
        <v>0</v>
      </c>
      <c r="Y41">
        <f>'Hazard information'!AU12</f>
        <v>0</v>
      </c>
      <c r="Z41">
        <f>'Hazard information'!AW12</f>
        <v>0</v>
      </c>
      <c r="AA41">
        <f>'Hazard information'!AY12</f>
        <v>0</v>
      </c>
      <c r="AB41">
        <f>'Hazard information'!BA12</f>
        <v>0</v>
      </c>
      <c r="AC41">
        <f>'Hazard information'!BC12</f>
        <v>0</v>
      </c>
      <c r="AD41">
        <f>'Hazard information'!BE12</f>
        <v>0</v>
      </c>
      <c r="AE41" s="37">
        <f t="shared" si="1"/>
        <v>0</v>
      </c>
    </row>
    <row r="42" spans="1:31" x14ac:dyDescent="0.3">
      <c r="A42" t="str">
        <f>'Hazard information'!A13</f>
        <v>Environmental Degradation - Erosion</v>
      </c>
      <c r="B42">
        <f>'Hazard information'!F13</f>
        <v>0</v>
      </c>
      <c r="C42">
        <f>'Hazard information'!H13</f>
        <v>0</v>
      </c>
      <c r="D42" t="e">
        <f>'Hazard information'!J13</f>
        <v>#N/A</v>
      </c>
      <c r="E42" t="e">
        <f>'Hazard information'!L13</f>
        <v>#N/A</v>
      </c>
      <c r="F42">
        <f>'Hazard information'!N13</f>
        <v>0</v>
      </c>
      <c r="G42">
        <f>'Hazard information'!P13</f>
        <v>0</v>
      </c>
      <c r="H42">
        <f>'Hazard information'!R13</f>
        <v>0</v>
      </c>
      <c r="I42">
        <f>'Hazard information'!T13</f>
        <v>0</v>
      </c>
      <c r="J42">
        <f>'Hazard information'!V13</f>
        <v>0</v>
      </c>
      <c r="K42">
        <f>'Hazard information'!X13</f>
        <v>0</v>
      </c>
      <c r="L42" s="37" t="e">
        <f t="shared" si="2"/>
        <v>#N/A</v>
      </c>
      <c r="M42">
        <f>'Hazard information'!Z13</f>
        <v>0</v>
      </c>
      <c r="N42">
        <f>'Hazard information'!AB13</f>
        <v>0</v>
      </c>
      <c r="O42">
        <f>'Hazard information'!AD13</f>
        <v>0</v>
      </c>
      <c r="P42">
        <f>'Hazard information'!AF13</f>
        <v>0</v>
      </c>
      <c r="Q42">
        <f>'Hazard information'!AH13</f>
        <v>0</v>
      </c>
      <c r="R42">
        <f>'Hazard information'!AJ13</f>
        <v>0</v>
      </c>
      <c r="S42">
        <f>'Hazard information'!AL13</f>
        <v>0</v>
      </c>
      <c r="T42">
        <f>'Hazard information'!AN13</f>
        <v>0</v>
      </c>
      <c r="U42" s="37">
        <f t="shared" si="0"/>
        <v>0</v>
      </c>
      <c r="V42" s="38">
        <f>'Hazard information'!AO13</f>
        <v>0</v>
      </c>
      <c r="W42">
        <f>'Hazard information'!AQ13</f>
        <v>0</v>
      </c>
      <c r="X42">
        <f>'Hazard information'!AS13</f>
        <v>0</v>
      </c>
      <c r="Y42">
        <f>'Hazard information'!AU13</f>
        <v>0</v>
      </c>
      <c r="Z42">
        <f>'Hazard information'!AW13</f>
        <v>0</v>
      </c>
      <c r="AA42">
        <f>'Hazard information'!AY13</f>
        <v>0</v>
      </c>
      <c r="AB42">
        <f>'Hazard information'!BA13</f>
        <v>0</v>
      </c>
      <c r="AC42">
        <f>'Hazard information'!BC13</f>
        <v>0</v>
      </c>
      <c r="AD42">
        <f>'Hazard information'!BE13</f>
        <v>0</v>
      </c>
      <c r="AE42" s="37">
        <f t="shared" si="1"/>
        <v>0</v>
      </c>
    </row>
    <row r="43" spans="1:31" x14ac:dyDescent="0.3">
      <c r="A43" t="str">
        <f>'Hazard information'!A14</f>
        <v>Environmental Degradation - Land Degradation</v>
      </c>
      <c r="B43">
        <f>'Hazard information'!F14</f>
        <v>0</v>
      </c>
      <c r="C43">
        <f>'Hazard information'!H14</f>
        <v>0</v>
      </c>
      <c r="D43" t="e">
        <f>'Hazard information'!J14</f>
        <v>#N/A</v>
      </c>
      <c r="E43" t="e">
        <f>'Hazard information'!L14</f>
        <v>#N/A</v>
      </c>
      <c r="F43">
        <f>'Hazard information'!N14</f>
        <v>0</v>
      </c>
      <c r="G43">
        <f>'Hazard information'!P14</f>
        <v>0</v>
      </c>
      <c r="H43">
        <f>'Hazard information'!R14</f>
        <v>0</v>
      </c>
      <c r="I43">
        <f>'Hazard information'!T14</f>
        <v>0</v>
      </c>
      <c r="J43">
        <f>'Hazard information'!V14</f>
        <v>0</v>
      </c>
      <c r="K43">
        <f>'Hazard information'!X14</f>
        <v>0</v>
      </c>
      <c r="L43" s="37" t="e">
        <f t="shared" si="2"/>
        <v>#N/A</v>
      </c>
      <c r="M43">
        <f>'Hazard information'!Z14</f>
        <v>0</v>
      </c>
      <c r="N43">
        <f>'Hazard information'!AB14</f>
        <v>0</v>
      </c>
      <c r="O43">
        <f>'Hazard information'!AD14</f>
        <v>0</v>
      </c>
      <c r="P43">
        <f>'Hazard information'!AF14</f>
        <v>0</v>
      </c>
      <c r="Q43">
        <f>'Hazard information'!AH14</f>
        <v>0</v>
      </c>
      <c r="R43">
        <f>'Hazard information'!AJ14</f>
        <v>0</v>
      </c>
      <c r="S43">
        <f>'Hazard information'!AL14</f>
        <v>0</v>
      </c>
      <c r="T43">
        <f>'Hazard information'!AN14</f>
        <v>0</v>
      </c>
      <c r="U43" s="37">
        <f t="shared" si="0"/>
        <v>0</v>
      </c>
      <c r="V43" s="38" t="str">
        <f>'Hazard information'!AO14</f>
        <v>Agriculture</v>
      </c>
      <c r="W43">
        <f>'Hazard information'!AQ14</f>
        <v>0</v>
      </c>
      <c r="X43">
        <f>'Hazard information'!AS14</f>
        <v>0</v>
      </c>
      <c r="Y43">
        <f>'Hazard information'!AU14</f>
        <v>0</v>
      </c>
      <c r="Z43">
        <f>'Hazard information'!AW14</f>
        <v>0</v>
      </c>
      <c r="AA43">
        <f>'Hazard information'!AY14</f>
        <v>0</v>
      </c>
      <c r="AB43">
        <f>'Hazard information'!BA14</f>
        <v>0</v>
      </c>
      <c r="AC43">
        <f>'Hazard information'!BC14</f>
        <v>0</v>
      </c>
      <c r="AD43">
        <f>'Hazard information'!BE14</f>
        <v>0</v>
      </c>
      <c r="AE43" s="37">
        <f t="shared" si="1"/>
        <v>0</v>
      </c>
    </row>
    <row r="44" spans="1:31" x14ac:dyDescent="0.3">
      <c r="A44" t="str">
        <f>'Hazard information'!A15</f>
        <v>Environmental Degradation - Loss of Biodiversity</v>
      </c>
      <c r="B44">
        <f>'Hazard information'!F15</f>
        <v>0</v>
      </c>
      <c r="C44">
        <f>'Hazard information'!H15</f>
        <v>0</v>
      </c>
      <c r="D44" t="e">
        <f>'Hazard information'!J15</f>
        <v>#N/A</v>
      </c>
      <c r="E44" t="e">
        <f>'Hazard information'!L15</f>
        <v>#N/A</v>
      </c>
      <c r="F44">
        <f>'Hazard information'!N15</f>
        <v>0</v>
      </c>
      <c r="G44">
        <f>'Hazard information'!P15</f>
        <v>0</v>
      </c>
      <c r="H44">
        <f>'Hazard information'!R15</f>
        <v>0</v>
      </c>
      <c r="I44">
        <f>'Hazard information'!T15</f>
        <v>0</v>
      </c>
      <c r="J44">
        <f>'Hazard information'!V15</f>
        <v>0</v>
      </c>
      <c r="K44">
        <f>'Hazard information'!X15</f>
        <v>0</v>
      </c>
      <c r="L44" s="37" t="e">
        <f t="shared" si="2"/>
        <v>#N/A</v>
      </c>
      <c r="M44">
        <f>'Hazard information'!Z15</f>
        <v>0</v>
      </c>
      <c r="N44">
        <f>'Hazard information'!AB15</f>
        <v>0</v>
      </c>
      <c r="O44">
        <f>'Hazard information'!AD15</f>
        <v>0</v>
      </c>
      <c r="P44">
        <f>'Hazard information'!AF15</f>
        <v>0</v>
      </c>
      <c r="Q44">
        <f>'Hazard information'!AH15</f>
        <v>0</v>
      </c>
      <c r="R44">
        <f>'Hazard information'!AJ15</f>
        <v>0</v>
      </c>
      <c r="S44">
        <f>'Hazard information'!AL15</f>
        <v>0</v>
      </c>
      <c r="T44">
        <f>'Hazard information'!AN15</f>
        <v>0</v>
      </c>
      <c r="U44" s="37">
        <f t="shared" si="0"/>
        <v>0</v>
      </c>
      <c r="V44" s="38">
        <f>'Hazard information'!AO15</f>
        <v>0</v>
      </c>
      <c r="W44">
        <f>'Hazard information'!AQ15</f>
        <v>0</v>
      </c>
      <c r="X44">
        <f>'Hazard information'!AS15</f>
        <v>0</v>
      </c>
      <c r="Y44">
        <f>'Hazard information'!AU15</f>
        <v>0</v>
      </c>
      <c r="Z44">
        <f>'Hazard information'!AW15</f>
        <v>0</v>
      </c>
      <c r="AA44">
        <f>'Hazard information'!AY15</f>
        <v>0</v>
      </c>
      <c r="AB44">
        <f>'Hazard information'!BA15</f>
        <v>0</v>
      </c>
      <c r="AC44">
        <f>'Hazard information'!BC15</f>
        <v>0</v>
      </c>
      <c r="AD44">
        <f>'Hazard information'!BE15</f>
        <v>0</v>
      </c>
      <c r="AE44" s="37">
        <f t="shared" si="1"/>
        <v>0</v>
      </c>
    </row>
    <row r="45" spans="1:31" x14ac:dyDescent="0.3">
      <c r="A45" t="str">
        <f>'Hazard information'!A32</f>
        <v>Infestations - Plant Infestations (Intruder Plants)</v>
      </c>
      <c r="B45">
        <f>'Hazard information'!F32</f>
        <v>0</v>
      </c>
      <c r="C45">
        <f>'Hazard information'!H32</f>
        <v>0</v>
      </c>
      <c r="D45" t="e">
        <f>'Hazard information'!J32</f>
        <v>#N/A</v>
      </c>
      <c r="E45" t="e">
        <f>'Hazard information'!L32</f>
        <v>#N/A</v>
      </c>
      <c r="F45">
        <f>'Hazard information'!N32</f>
        <v>0</v>
      </c>
      <c r="G45">
        <f>'Hazard information'!P32</f>
        <v>0</v>
      </c>
      <c r="H45">
        <f>'Hazard information'!R32</f>
        <v>0</v>
      </c>
      <c r="I45">
        <f>'Hazard information'!T32</f>
        <v>0</v>
      </c>
      <c r="J45">
        <f>'Hazard information'!V32</f>
        <v>0</v>
      </c>
      <c r="K45">
        <f>'Hazard information'!X32</f>
        <v>0</v>
      </c>
      <c r="L45" s="37" t="e">
        <f t="shared" si="2"/>
        <v>#N/A</v>
      </c>
      <c r="M45">
        <f>'Hazard information'!Z32</f>
        <v>0</v>
      </c>
      <c r="N45">
        <f>'Hazard information'!AB32</f>
        <v>0</v>
      </c>
      <c r="O45">
        <f>'Hazard information'!AD32</f>
        <v>0</v>
      </c>
      <c r="P45">
        <f>'Hazard information'!AF32</f>
        <v>0</v>
      </c>
      <c r="Q45">
        <f>'Hazard information'!AH32</f>
        <v>0</v>
      </c>
      <c r="R45">
        <f>'Hazard information'!AJ32</f>
        <v>0</v>
      </c>
      <c r="S45">
        <f>'Hazard information'!AL32</f>
        <v>0</v>
      </c>
      <c r="T45">
        <f>'Hazard information'!AN32</f>
        <v>0</v>
      </c>
      <c r="U45" s="37">
        <f t="shared" si="0"/>
        <v>0</v>
      </c>
      <c r="V45" s="38">
        <f>'Hazard information'!AO32</f>
        <v>0</v>
      </c>
      <c r="W45">
        <f>'Hazard information'!AQ32</f>
        <v>0</v>
      </c>
      <c r="X45">
        <f>'Hazard information'!AS32</f>
        <v>0</v>
      </c>
      <c r="Y45">
        <f>'Hazard information'!AU32</f>
        <v>0</v>
      </c>
      <c r="Z45">
        <f>'Hazard information'!AW32</f>
        <v>0</v>
      </c>
      <c r="AA45">
        <f>'Hazard information'!AY32</f>
        <v>0</v>
      </c>
      <c r="AB45">
        <f>'Hazard information'!BA32</f>
        <v>0</v>
      </c>
      <c r="AC45">
        <f>'Hazard information'!BC32</f>
        <v>0</v>
      </c>
      <c r="AD45">
        <f>'Hazard information'!BE32</f>
        <v>0</v>
      </c>
      <c r="AE45" s="37">
        <f t="shared" si="1"/>
        <v>0</v>
      </c>
    </row>
    <row r="46" spans="1:31" x14ac:dyDescent="0.3">
      <c r="A46" t="str">
        <f>'Hazard information'!A38</f>
        <v>Infrastructure Failure / Service Delivery Failure - Water</v>
      </c>
      <c r="B46">
        <f>'Hazard information'!F38</f>
        <v>0</v>
      </c>
      <c r="C46">
        <f>'Hazard information'!H38</f>
        <v>0</v>
      </c>
      <c r="D46" t="e">
        <f>'Hazard information'!J38</f>
        <v>#N/A</v>
      </c>
      <c r="E46" t="e">
        <f>'Hazard information'!L38</f>
        <v>#N/A</v>
      </c>
      <c r="F46">
        <f>'Hazard information'!N38</f>
        <v>0</v>
      </c>
      <c r="G46">
        <f>'Hazard information'!P38</f>
        <v>0</v>
      </c>
      <c r="H46">
        <f>'Hazard information'!R38</f>
        <v>0</v>
      </c>
      <c r="I46">
        <f>'Hazard information'!T38</f>
        <v>0</v>
      </c>
      <c r="J46">
        <f>'Hazard information'!V38</f>
        <v>0</v>
      </c>
      <c r="K46">
        <f>'Hazard information'!X38</f>
        <v>0</v>
      </c>
      <c r="L46" s="37" t="e">
        <f t="shared" si="2"/>
        <v>#N/A</v>
      </c>
      <c r="M46">
        <f>'Hazard information'!Z38</f>
        <v>0</v>
      </c>
      <c r="N46">
        <f>'Hazard information'!AB38</f>
        <v>0</v>
      </c>
      <c r="O46">
        <f>'Hazard information'!AD38</f>
        <v>0</v>
      </c>
      <c r="P46">
        <f>'Hazard information'!AF38</f>
        <v>0</v>
      </c>
      <c r="Q46">
        <f>'Hazard information'!AH38</f>
        <v>0</v>
      </c>
      <c r="R46">
        <f>'Hazard information'!AJ38</f>
        <v>0</v>
      </c>
      <c r="S46">
        <f>'Hazard information'!AL38</f>
        <v>0</v>
      </c>
      <c r="T46">
        <f>'Hazard information'!AN38</f>
        <v>0</v>
      </c>
      <c r="U46" s="37">
        <f t="shared" si="0"/>
        <v>0</v>
      </c>
      <c r="V46" s="38">
        <f>'Hazard information'!AO38</f>
        <v>0</v>
      </c>
      <c r="W46">
        <f>'Hazard information'!AQ38</f>
        <v>0</v>
      </c>
      <c r="X46">
        <f>'Hazard information'!AS38</f>
        <v>0</v>
      </c>
      <c r="Y46">
        <f>'Hazard information'!AU38</f>
        <v>0</v>
      </c>
      <c r="Z46">
        <f>'Hazard information'!AW38</f>
        <v>0</v>
      </c>
      <c r="AA46">
        <f>'Hazard information'!AY38</f>
        <v>0</v>
      </c>
      <c r="AB46">
        <f>'Hazard information'!BA38</f>
        <v>0</v>
      </c>
      <c r="AC46">
        <f>'Hazard information'!BC38</f>
        <v>0</v>
      </c>
      <c r="AD46">
        <f>'Hazard information'!BE38</f>
        <v>0</v>
      </c>
      <c r="AE46" s="37">
        <f t="shared" si="1"/>
        <v>0</v>
      </c>
    </row>
    <row r="47" spans="1:31" x14ac:dyDescent="0.3">
      <c r="A47" t="str">
        <f>'Hazard information'!A18</f>
        <v>Geological Hazards - Earthquake</v>
      </c>
      <c r="B47">
        <f>'Hazard information'!F18</f>
        <v>0</v>
      </c>
      <c r="C47">
        <f>'Hazard information'!H18</f>
        <v>0</v>
      </c>
      <c r="D47" t="e">
        <f>'Hazard information'!J18</f>
        <v>#N/A</v>
      </c>
      <c r="E47" t="e">
        <f>'Hazard information'!L18</f>
        <v>#N/A</v>
      </c>
      <c r="F47">
        <f>'Hazard information'!N18</f>
        <v>0</v>
      </c>
      <c r="G47">
        <f>'Hazard information'!P18</f>
        <v>0</v>
      </c>
      <c r="H47">
        <f>'Hazard information'!R18</f>
        <v>0</v>
      </c>
      <c r="I47">
        <f>'Hazard information'!T18</f>
        <v>0</v>
      </c>
      <c r="J47">
        <f>'Hazard information'!V18</f>
        <v>0</v>
      </c>
      <c r="K47">
        <f>'Hazard information'!X18</f>
        <v>0</v>
      </c>
      <c r="L47" s="37" t="e">
        <f t="shared" si="2"/>
        <v>#N/A</v>
      </c>
      <c r="M47">
        <f>'Hazard information'!Z18</f>
        <v>0</v>
      </c>
      <c r="N47">
        <f>'Hazard information'!AB18</f>
        <v>0</v>
      </c>
      <c r="O47">
        <f>'Hazard information'!AD18</f>
        <v>0</v>
      </c>
      <c r="P47">
        <f>'Hazard information'!AF18</f>
        <v>0</v>
      </c>
      <c r="Q47">
        <f>'Hazard information'!AH18</f>
        <v>0</v>
      </c>
      <c r="R47">
        <f>'Hazard information'!AJ18</f>
        <v>0</v>
      </c>
      <c r="S47">
        <f>'Hazard information'!AL18</f>
        <v>0</v>
      </c>
      <c r="T47">
        <f>'Hazard information'!AN18</f>
        <v>0</v>
      </c>
      <c r="U47" s="37">
        <f t="shared" si="0"/>
        <v>0</v>
      </c>
      <c r="V47" s="38">
        <f>'Hazard information'!AO18</f>
        <v>0</v>
      </c>
      <c r="W47">
        <f>'Hazard information'!AQ18</f>
        <v>0</v>
      </c>
      <c r="X47">
        <f>'Hazard information'!AS18</f>
        <v>0</v>
      </c>
      <c r="Y47">
        <f>'Hazard information'!AU18</f>
        <v>0</v>
      </c>
      <c r="Z47">
        <f>'Hazard information'!AW18</f>
        <v>0</v>
      </c>
      <c r="AA47">
        <f>'Hazard information'!AY18</f>
        <v>0</v>
      </c>
      <c r="AB47">
        <f>'Hazard information'!BA18</f>
        <v>0</v>
      </c>
      <c r="AC47">
        <f>'Hazard information'!BC18</f>
        <v>0</v>
      </c>
      <c r="AD47">
        <f>'Hazard information'!BE18</f>
        <v>0</v>
      </c>
      <c r="AE47" s="37">
        <f t="shared" si="1"/>
        <v>0</v>
      </c>
    </row>
    <row r="48" spans="1:31" x14ac:dyDescent="0.3">
      <c r="A48" t="str">
        <f>'Hazard information'!A20</f>
        <v>Geological Hazards - Rock-fall</v>
      </c>
      <c r="B48">
        <f>'Hazard information'!F20</f>
        <v>0</v>
      </c>
      <c r="C48">
        <f>'Hazard information'!H20</f>
        <v>0</v>
      </c>
      <c r="D48" t="e">
        <f>'Hazard information'!J20</f>
        <v>#N/A</v>
      </c>
      <c r="E48" t="e">
        <f>'Hazard information'!L20</f>
        <v>#N/A</v>
      </c>
      <c r="F48">
        <f>'Hazard information'!N20</f>
        <v>0</v>
      </c>
      <c r="G48">
        <f>'Hazard information'!P20</f>
        <v>0</v>
      </c>
      <c r="H48">
        <f>'Hazard information'!R20</f>
        <v>0</v>
      </c>
      <c r="I48">
        <f>'Hazard information'!T20</f>
        <v>0</v>
      </c>
      <c r="J48">
        <f>'Hazard information'!V20</f>
        <v>0</v>
      </c>
      <c r="K48">
        <f>'Hazard information'!X20</f>
        <v>0</v>
      </c>
      <c r="L48" s="37" t="e">
        <f t="shared" si="2"/>
        <v>#N/A</v>
      </c>
      <c r="M48">
        <f>'Hazard information'!Z20</f>
        <v>0</v>
      </c>
      <c r="N48">
        <f>'Hazard information'!AB20</f>
        <v>0</v>
      </c>
      <c r="O48">
        <f>'Hazard information'!AD20</f>
        <v>0</v>
      </c>
      <c r="P48">
        <f>'Hazard information'!AF20</f>
        <v>0</v>
      </c>
      <c r="Q48">
        <f>'Hazard information'!AH20</f>
        <v>0</v>
      </c>
      <c r="R48">
        <f>'Hazard information'!AJ20</f>
        <v>0</v>
      </c>
      <c r="S48">
        <f>'Hazard information'!AL20</f>
        <v>0</v>
      </c>
      <c r="T48">
        <f>'Hazard information'!AN20</f>
        <v>0</v>
      </c>
      <c r="U48" s="37">
        <f t="shared" si="0"/>
        <v>0</v>
      </c>
      <c r="V48" s="38">
        <f>'Hazard information'!AO20</f>
        <v>0</v>
      </c>
      <c r="W48">
        <f>'Hazard information'!AQ20</f>
        <v>0</v>
      </c>
      <c r="X48">
        <f>'Hazard information'!AS20</f>
        <v>0</v>
      </c>
      <c r="Y48">
        <f>'Hazard information'!AU20</f>
        <v>0</v>
      </c>
      <c r="Z48">
        <f>'Hazard information'!AW20</f>
        <v>0</v>
      </c>
      <c r="AA48">
        <f>'Hazard information'!AY20</f>
        <v>0</v>
      </c>
      <c r="AB48">
        <f>'Hazard information'!BA20</f>
        <v>0</v>
      </c>
      <c r="AC48">
        <f>'Hazard information'!BC20</f>
        <v>0</v>
      </c>
      <c r="AD48">
        <f>'Hazard information'!BE20</f>
        <v>0</v>
      </c>
      <c r="AE48" s="37">
        <f t="shared" si="1"/>
        <v>0</v>
      </c>
    </row>
    <row r="49" spans="1:31" x14ac:dyDescent="0.3">
      <c r="A49" t="str">
        <f>'Hazard information'!A26</f>
        <v>Hydro-meteorological Hazards - Extreme Temperatures</v>
      </c>
      <c r="B49">
        <f>'Hazard information'!F26</f>
        <v>0</v>
      </c>
      <c r="C49">
        <f>'Hazard information'!H26</f>
        <v>0</v>
      </c>
      <c r="D49" t="e">
        <f>'Hazard information'!J26</f>
        <v>#N/A</v>
      </c>
      <c r="E49" t="e">
        <f>'Hazard information'!L26</f>
        <v>#N/A</v>
      </c>
      <c r="F49">
        <f>'Hazard information'!N26</f>
        <v>0</v>
      </c>
      <c r="G49">
        <f>'Hazard information'!P26</f>
        <v>0</v>
      </c>
      <c r="H49">
        <f>'Hazard information'!R26</f>
        <v>0</v>
      </c>
      <c r="I49">
        <f>'Hazard information'!T26</f>
        <v>0</v>
      </c>
      <c r="J49">
        <f>'Hazard information'!V26</f>
        <v>0</v>
      </c>
      <c r="K49">
        <f>'Hazard information'!X26</f>
        <v>0</v>
      </c>
      <c r="L49" s="37" t="e">
        <f t="shared" si="2"/>
        <v>#N/A</v>
      </c>
      <c r="M49">
        <f>'Hazard information'!Z26</f>
        <v>0</v>
      </c>
      <c r="N49">
        <f>'Hazard information'!AB26</f>
        <v>0</v>
      </c>
      <c r="O49">
        <f>'Hazard information'!AD26</f>
        <v>0</v>
      </c>
      <c r="P49">
        <f>'Hazard information'!AF26</f>
        <v>0</v>
      </c>
      <c r="Q49">
        <f>'Hazard information'!AH26</f>
        <v>0</v>
      </c>
      <c r="R49">
        <f>'Hazard information'!AJ26</f>
        <v>0</v>
      </c>
      <c r="S49">
        <f>'Hazard information'!AL26</f>
        <v>0</v>
      </c>
      <c r="T49">
        <f>'Hazard information'!AN26</f>
        <v>0</v>
      </c>
      <c r="U49" s="37">
        <f t="shared" si="0"/>
        <v>0</v>
      </c>
      <c r="V49" s="38">
        <f>'Hazard information'!AO26</f>
        <v>0</v>
      </c>
      <c r="W49">
        <f>'Hazard information'!AQ26</f>
        <v>0</v>
      </c>
      <c r="X49">
        <f>'Hazard information'!AS26</f>
        <v>0</v>
      </c>
      <c r="Y49">
        <f>'Hazard information'!AU26</f>
        <v>0</v>
      </c>
      <c r="Z49">
        <f>'Hazard information'!AW26</f>
        <v>0</v>
      </c>
      <c r="AA49">
        <f>'Hazard information'!AY26</f>
        <v>0</v>
      </c>
      <c r="AB49">
        <f>'Hazard information'!BA26</f>
        <v>0</v>
      </c>
      <c r="AC49">
        <f>'Hazard information'!BC26</f>
        <v>0</v>
      </c>
      <c r="AD49">
        <f>'Hazard information'!BE26</f>
        <v>0</v>
      </c>
      <c r="AE49" s="37">
        <f t="shared" si="1"/>
        <v>0</v>
      </c>
    </row>
    <row r="50" spans="1:31" x14ac:dyDescent="0.3">
      <c r="A50" t="str">
        <f>'Hazard information'!A27</f>
        <v>Hydro-meteorological Hazards - Floods (River, Urban &amp; Dam Failure)</v>
      </c>
      <c r="B50">
        <f>'Hazard information'!F27</f>
        <v>0</v>
      </c>
      <c r="C50">
        <f>'Hazard information'!H27</f>
        <v>0</v>
      </c>
      <c r="D50" t="e">
        <f>'Hazard information'!J27</f>
        <v>#N/A</v>
      </c>
      <c r="E50" t="e">
        <f>'Hazard information'!L27</f>
        <v>#N/A</v>
      </c>
      <c r="F50">
        <f>'Hazard information'!N27</f>
        <v>0</v>
      </c>
      <c r="G50">
        <f>'Hazard information'!P27</f>
        <v>0</v>
      </c>
      <c r="H50">
        <f>'Hazard information'!R27</f>
        <v>0</v>
      </c>
      <c r="I50">
        <f>'Hazard information'!T27</f>
        <v>0</v>
      </c>
      <c r="J50">
        <f>'Hazard information'!V27</f>
        <v>0</v>
      </c>
      <c r="K50">
        <f>'Hazard information'!X27</f>
        <v>0</v>
      </c>
      <c r="L50" s="37" t="e">
        <f t="shared" si="2"/>
        <v>#N/A</v>
      </c>
      <c r="M50">
        <f>'Hazard information'!Z27</f>
        <v>0</v>
      </c>
      <c r="N50">
        <f>'Hazard information'!AB27</f>
        <v>0</v>
      </c>
      <c r="O50">
        <f>'Hazard information'!AD27</f>
        <v>0</v>
      </c>
      <c r="P50">
        <f>'Hazard information'!AF27</f>
        <v>0</v>
      </c>
      <c r="Q50">
        <f>'Hazard information'!AH27</f>
        <v>0</v>
      </c>
      <c r="R50">
        <f>'Hazard information'!AJ27</f>
        <v>0</v>
      </c>
      <c r="S50">
        <f>'Hazard information'!AL27</f>
        <v>0</v>
      </c>
      <c r="T50">
        <f>'Hazard information'!AN27</f>
        <v>0</v>
      </c>
      <c r="U50" s="37">
        <f t="shared" si="0"/>
        <v>0</v>
      </c>
      <c r="V50" s="38">
        <f>'Hazard information'!AO27</f>
        <v>0</v>
      </c>
      <c r="W50">
        <f>'Hazard information'!AQ27</f>
        <v>0</v>
      </c>
      <c r="X50">
        <f>'Hazard information'!AS27</f>
        <v>0</v>
      </c>
      <c r="Y50">
        <f>'Hazard information'!AU27</f>
        <v>0</v>
      </c>
      <c r="Z50">
        <f>'Hazard information'!AW27</f>
        <v>0</v>
      </c>
      <c r="AA50">
        <f>'Hazard information'!AY27</f>
        <v>0</v>
      </c>
      <c r="AB50">
        <f>'Hazard information'!BA27</f>
        <v>0</v>
      </c>
      <c r="AC50">
        <f>'Hazard information'!BC27</f>
        <v>0</v>
      </c>
      <c r="AD50">
        <f>'Hazard information'!BE27</f>
        <v>0</v>
      </c>
      <c r="AE50" s="37">
        <f t="shared" si="1"/>
        <v>0</v>
      </c>
    </row>
    <row r="51" spans="1:31" x14ac:dyDescent="0.3">
      <c r="A51" t="str">
        <f>'Hazard information'!A28</f>
        <v>Hydro-meteorological Hazards - Severe Storms (Wind, Hail, Snow, Lightning, Fog)</v>
      </c>
      <c r="B51">
        <f>'Hazard information'!F28</f>
        <v>0</v>
      </c>
      <c r="C51">
        <f>'Hazard information'!H28</f>
        <v>0</v>
      </c>
      <c r="D51" t="e">
        <f>'Hazard information'!J28</f>
        <v>#N/A</v>
      </c>
      <c r="E51" t="e">
        <f>'Hazard information'!L28</f>
        <v>#N/A</v>
      </c>
      <c r="F51">
        <f>'Hazard information'!N28</f>
        <v>0</v>
      </c>
      <c r="G51">
        <f>'Hazard information'!P28</f>
        <v>0</v>
      </c>
      <c r="H51">
        <f>'Hazard information'!R28</f>
        <v>0</v>
      </c>
      <c r="I51">
        <f>'Hazard information'!T28</f>
        <v>0</v>
      </c>
      <c r="J51">
        <f>'Hazard information'!V28</f>
        <v>0</v>
      </c>
      <c r="K51">
        <f>'Hazard information'!X28</f>
        <v>0</v>
      </c>
      <c r="L51" s="37" t="e">
        <f t="shared" si="2"/>
        <v>#N/A</v>
      </c>
      <c r="M51">
        <f>'Hazard information'!Z28</f>
        <v>0</v>
      </c>
      <c r="N51">
        <f>'Hazard information'!AB28</f>
        <v>0</v>
      </c>
      <c r="O51">
        <f>'Hazard information'!AD28</f>
        <v>0</v>
      </c>
      <c r="P51">
        <f>'Hazard information'!AF28</f>
        <v>0</v>
      </c>
      <c r="Q51">
        <f>'Hazard information'!AH28</f>
        <v>0</v>
      </c>
      <c r="R51">
        <f>'Hazard information'!AJ28</f>
        <v>0</v>
      </c>
      <c r="S51">
        <f>'Hazard information'!AL28</f>
        <v>0</v>
      </c>
      <c r="T51">
        <f>'Hazard information'!AN28</f>
        <v>0</v>
      </c>
      <c r="U51" s="37">
        <f t="shared" si="0"/>
        <v>0</v>
      </c>
      <c r="V51" s="38">
        <f>'Hazard information'!AO28</f>
        <v>0</v>
      </c>
      <c r="W51">
        <f>'Hazard information'!AQ28</f>
        <v>0</v>
      </c>
      <c r="X51">
        <f>'Hazard information'!AS28</f>
        <v>0</v>
      </c>
      <c r="Y51">
        <f>'Hazard information'!AU28</f>
        <v>0</v>
      </c>
      <c r="Z51">
        <f>'Hazard information'!AW28</f>
        <v>0</v>
      </c>
      <c r="AA51">
        <f>'Hazard information'!AY28</f>
        <v>0</v>
      </c>
      <c r="AB51">
        <f>'Hazard information'!BA28</f>
        <v>0</v>
      </c>
      <c r="AC51">
        <f>'Hazard information'!BC28</f>
        <v>0</v>
      </c>
      <c r="AD51">
        <f>'Hazard information'!BE28</f>
        <v>0</v>
      </c>
      <c r="AE51" s="37">
        <f t="shared" si="1"/>
        <v>0</v>
      </c>
    </row>
    <row r="52" spans="1:31" x14ac:dyDescent="0.3">
      <c r="A52" t="str">
        <f>'Hazard information'!A37</f>
        <v>Infrastructure Failure / Service Delivery Failure - Transport</v>
      </c>
      <c r="B52">
        <f>'Hazard information'!F37</f>
        <v>0</v>
      </c>
      <c r="C52">
        <f>'Hazard information'!H37</f>
        <v>0</v>
      </c>
      <c r="D52" t="e">
        <f>'Hazard information'!J37</f>
        <v>#N/A</v>
      </c>
      <c r="E52" t="e">
        <f>'Hazard information'!L37</f>
        <v>#N/A</v>
      </c>
      <c r="F52">
        <f>'Hazard information'!N37</f>
        <v>0</v>
      </c>
      <c r="G52">
        <f>'Hazard information'!P37</f>
        <v>0</v>
      </c>
      <c r="H52">
        <f>'Hazard information'!R37</f>
        <v>0</v>
      </c>
      <c r="I52">
        <f>'Hazard information'!T37</f>
        <v>0</v>
      </c>
      <c r="J52">
        <f>'Hazard information'!V37</f>
        <v>0</v>
      </c>
      <c r="K52">
        <f>'Hazard information'!X37</f>
        <v>0</v>
      </c>
      <c r="L52" s="37" t="e">
        <f t="shared" si="2"/>
        <v>#N/A</v>
      </c>
      <c r="M52">
        <f>'Hazard information'!Z37</f>
        <v>0</v>
      </c>
      <c r="N52">
        <f>'Hazard information'!AB37</f>
        <v>0</v>
      </c>
      <c r="O52">
        <f>'Hazard information'!AD37</f>
        <v>0</v>
      </c>
      <c r="P52">
        <f>'Hazard information'!AF37</f>
        <v>0</v>
      </c>
      <c r="Q52">
        <f>'Hazard information'!AH37</f>
        <v>0</v>
      </c>
      <c r="R52">
        <f>'Hazard information'!AJ37</f>
        <v>0</v>
      </c>
      <c r="S52">
        <f>'Hazard information'!AL37</f>
        <v>0</v>
      </c>
      <c r="T52">
        <f>'Hazard information'!AN37</f>
        <v>0</v>
      </c>
      <c r="U52" s="37">
        <f t="shared" si="0"/>
        <v>0</v>
      </c>
      <c r="V52" s="38">
        <f>'Hazard information'!AO37</f>
        <v>0</v>
      </c>
      <c r="W52">
        <f>'Hazard information'!AQ37</f>
        <v>0</v>
      </c>
      <c r="X52">
        <f>'Hazard information'!AS37</f>
        <v>0</v>
      </c>
      <c r="Y52">
        <f>'Hazard information'!AU37</f>
        <v>0</v>
      </c>
      <c r="Z52">
        <f>'Hazard information'!AW37</f>
        <v>0</v>
      </c>
      <c r="AA52">
        <f>'Hazard information'!AY37</f>
        <v>0</v>
      </c>
      <c r="AB52">
        <f>'Hazard information'!BA37</f>
        <v>0</v>
      </c>
      <c r="AC52">
        <f>'Hazard information'!BC37</f>
        <v>0</v>
      </c>
      <c r="AD52">
        <f>'Hazard information'!BE37</f>
        <v>0</v>
      </c>
      <c r="AE52" s="37">
        <f t="shared" si="1"/>
        <v>0</v>
      </c>
    </row>
    <row r="53" spans="1:31" x14ac:dyDescent="0.3">
      <c r="A53" t="str">
        <f>'Hazard information'!A47</f>
        <v>Pollution - Air Pollution</v>
      </c>
      <c r="B53">
        <f>'Hazard information'!F47</f>
        <v>0</v>
      </c>
      <c r="C53">
        <f>'Hazard information'!H47</f>
        <v>0</v>
      </c>
      <c r="D53" t="e">
        <f>'Hazard information'!J47</f>
        <v>#N/A</v>
      </c>
      <c r="E53" t="e">
        <f>'Hazard information'!L47</f>
        <v>#N/A</v>
      </c>
      <c r="F53">
        <f>'Hazard information'!N47</f>
        <v>0</v>
      </c>
      <c r="G53">
        <f>'Hazard information'!P47</f>
        <v>0</v>
      </c>
      <c r="H53">
        <f>'Hazard information'!R47</f>
        <v>0</v>
      </c>
      <c r="I53">
        <f>'Hazard information'!T47</f>
        <v>0</v>
      </c>
      <c r="J53">
        <f>'Hazard information'!V47</f>
        <v>0</v>
      </c>
      <c r="K53">
        <f>'Hazard information'!X47</f>
        <v>0</v>
      </c>
      <c r="L53" s="37" t="e">
        <f t="shared" si="2"/>
        <v>#N/A</v>
      </c>
      <c r="M53">
        <f>'Hazard information'!Z47</f>
        <v>0</v>
      </c>
      <c r="N53">
        <f>'Hazard information'!AB47</f>
        <v>0</v>
      </c>
      <c r="O53">
        <f>'Hazard information'!AD47</f>
        <v>0</v>
      </c>
      <c r="P53">
        <f>'Hazard information'!AF47</f>
        <v>0</v>
      </c>
      <c r="Q53">
        <f>'Hazard information'!AH47</f>
        <v>0</v>
      </c>
      <c r="R53">
        <f>'Hazard information'!AJ47</f>
        <v>0</v>
      </c>
      <c r="S53">
        <f>'Hazard information'!AL47</f>
        <v>0</v>
      </c>
      <c r="T53">
        <f>'Hazard information'!AN47</f>
        <v>0</v>
      </c>
      <c r="U53" s="37">
        <f t="shared" si="0"/>
        <v>0</v>
      </c>
      <c r="V53" s="38">
        <f>'Hazard information'!AO47</f>
        <v>0</v>
      </c>
      <c r="W53">
        <f>'Hazard information'!AQ47</f>
        <v>0</v>
      </c>
      <c r="X53">
        <f>'Hazard information'!AS47</f>
        <v>0</v>
      </c>
      <c r="Y53">
        <f>'Hazard information'!AU47</f>
        <v>0</v>
      </c>
      <c r="Z53">
        <f>'Hazard information'!AW47</f>
        <v>0</v>
      </c>
      <c r="AA53">
        <f>'Hazard information'!AY47</f>
        <v>0</v>
      </c>
      <c r="AB53">
        <f>'Hazard information'!BA47</f>
        <v>0</v>
      </c>
      <c r="AC53">
        <f>'Hazard information'!BC47</f>
        <v>0</v>
      </c>
      <c r="AD53">
        <f>'Hazard information'!BE47</f>
        <v>0</v>
      </c>
      <c r="AE53" s="37">
        <f t="shared" si="1"/>
        <v>0</v>
      </c>
    </row>
    <row r="54" spans="1:31" x14ac:dyDescent="0.3">
      <c r="A54" t="str">
        <f>'Hazard information'!A48</f>
        <v>Pollution - Land Pollution</v>
      </c>
      <c r="B54">
        <f>'Hazard information'!F48</f>
        <v>0</v>
      </c>
      <c r="C54">
        <f>'Hazard information'!H48</f>
        <v>0</v>
      </c>
      <c r="D54" t="e">
        <f>'Hazard information'!J48</f>
        <v>#N/A</v>
      </c>
      <c r="E54" t="e">
        <f>'Hazard information'!L48</f>
        <v>#N/A</v>
      </c>
      <c r="F54">
        <f>'Hazard information'!N48</f>
        <v>0</v>
      </c>
      <c r="G54">
        <f>'Hazard information'!P48</f>
        <v>0</v>
      </c>
      <c r="H54">
        <f>'Hazard information'!R48</f>
        <v>0</v>
      </c>
      <c r="I54">
        <f>'Hazard information'!T48</f>
        <v>0</v>
      </c>
      <c r="J54">
        <f>'Hazard information'!V48</f>
        <v>0</v>
      </c>
      <c r="K54">
        <f>'Hazard information'!X48</f>
        <v>0</v>
      </c>
      <c r="L54" s="37" t="e">
        <f t="shared" si="2"/>
        <v>#N/A</v>
      </c>
      <c r="M54">
        <f>'Hazard information'!Z48</f>
        <v>0</v>
      </c>
      <c r="N54">
        <f>'Hazard information'!AB48</f>
        <v>0</v>
      </c>
      <c r="O54">
        <f>'Hazard information'!AD48</f>
        <v>0</v>
      </c>
      <c r="P54">
        <f>'Hazard information'!AF48</f>
        <v>0</v>
      </c>
      <c r="Q54">
        <f>'Hazard information'!AH48</f>
        <v>0</v>
      </c>
      <c r="R54">
        <f>'Hazard information'!AJ48</f>
        <v>0</v>
      </c>
      <c r="S54">
        <f>'Hazard information'!AL48</f>
        <v>0</v>
      </c>
      <c r="T54">
        <f>'Hazard information'!AN48</f>
        <v>0</v>
      </c>
      <c r="U54" s="37">
        <f t="shared" si="0"/>
        <v>0</v>
      </c>
      <c r="V54" s="38">
        <f>'Hazard information'!AO48</f>
        <v>0</v>
      </c>
      <c r="W54">
        <f>'Hazard information'!AQ48</f>
        <v>0</v>
      </c>
      <c r="X54">
        <f>'Hazard information'!AS48</f>
        <v>0</v>
      </c>
      <c r="Y54">
        <f>'Hazard information'!AU48</f>
        <v>0</v>
      </c>
      <c r="Z54">
        <f>'Hazard information'!AW48</f>
        <v>0</v>
      </c>
      <c r="AA54">
        <f>'Hazard information'!AY48</f>
        <v>0</v>
      </c>
      <c r="AB54">
        <f>'Hazard information'!BA48</f>
        <v>0</v>
      </c>
      <c r="AC54">
        <f>'Hazard information'!BC48</f>
        <v>0</v>
      </c>
      <c r="AD54">
        <f>'Hazard information'!BE48</f>
        <v>0</v>
      </c>
      <c r="AE54" s="37">
        <f t="shared" si="1"/>
        <v>0</v>
      </c>
    </row>
    <row r="55" spans="1:31" x14ac:dyDescent="0.3">
      <c r="A55" t="str">
        <f>'Hazard information'!A49</f>
        <v>Pollution - Water Pollution (Fresh and Sea)</v>
      </c>
      <c r="B55">
        <f>'Hazard information'!F49</f>
        <v>3</v>
      </c>
      <c r="C55">
        <f>'Hazard information'!H49</f>
        <v>4</v>
      </c>
      <c r="D55">
        <f>'Hazard information'!J49</f>
        <v>5</v>
      </c>
      <c r="E55">
        <f>'Hazard information'!L49</f>
        <v>3</v>
      </c>
      <c r="F55">
        <f>'Hazard information'!N49</f>
        <v>4</v>
      </c>
      <c r="G55">
        <f>'Hazard information'!P49</f>
        <v>0</v>
      </c>
      <c r="H55">
        <f>'Hazard information'!R49</f>
        <v>0</v>
      </c>
      <c r="I55">
        <f>'Hazard information'!T49</f>
        <v>0</v>
      </c>
      <c r="J55">
        <f>'Hazard information'!V49</f>
        <v>0</v>
      </c>
      <c r="K55">
        <f>'Hazard information'!X49</f>
        <v>0</v>
      </c>
      <c r="L55" s="37">
        <f t="shared" si="2"/>
        <v>19</v>
      </c>
      <c r="M55">
        <f>'Hazard information'!Z49</f>
        <v>0</v>
      </c>
      <c r="N55">
        <f>'Hazard information'!AB49</f>
        <v>0</v>
      </c>
      <c r="O55">
        <f>'Hazard information'!AD49</f>
        <v>0</v>
      </c>
      <c r="P55">
        <f>'Hazard information'!AF49</f>
        <v>0</v>
      </c>
      <c r="Q55">
        <f>'Hazard information'!AH49</f>
        <v>0</v>
      </c>
      <c r="R55">
        <f>'Hazard information'!AJ49</f>
        <v>0</v>
      </c>
      <c r="S55">
        <f>'Hazard information'!AL49</f>
        <v>0</v>
      </c>
      <c r="T55">
        <f>'Hazard information'!AN49</f>
        <v>0</v>
      </c>
      <c r="U55" s="37">
        <f t="shared" si="0"/>
        <v>0</v>
      </c>
      <c r="V55" s="38">
        <f>'Hazard information'!AO49</f>
        <v>0</v>
      </c>
      <c r="W55">
        <f>'Hazard information'!AQ49</f>
        <v>0</v>
      </c>
      <c r="X55">
        <f>'Hazard information'!AS49</f>
        <v>0</v>
      </c>
      <c r="Y55">
        <f>'Hazard information'!AU49</f>
        <v>0</v>
      </c>
      <c r="Z55">
        <f>'Hazard information'!AW49</f>
        <v>0</v>
      </c>
      <c r="AA55">
        <f>'Hazard information'!AY49</f>
        <v>0</v>
      </c>
      <c r="AB55">
        <f>'Hazard information'!BA49</f>
        <v>0</v>
      </c>
      <c r="AC55">
        <f>'Hazard information'!BC49</f>
        <v>0</v>
      </c>
      <c r="AD55">
        <f>'Hazard information'!BE49</f>
        <v>0</v>
      </c>
      <c r="AE55" s="37">
        <f t="shared" si="1"/>
        <v>0</v>
      </c>
    </row>
    <row r="56" spans="1:31" x14ac:dyDescent="0.3">
      <c r="A56" t="str">
        <f>'Hazard information'!A39</f>
        <v>Major Event Hazards - Cultural / Religious</v>
      </c>
      <c r="B56">
        <f>'Hazard information'!F39</f>
        <v>0</v>
      </c>
      <c r="C56">
        <f>'Hazard information'!H39</f>
        <v>0</v>
      </c>
      <c r="D56" t="e">
        <f>'Hazard information'!J39</f>
        <v>#N/A</v>
      </c>
      <c r="E56" t="e">
        <f>'Hazard information'!L39</f>
        <v>#N/A</v>
      </c>
      <c r="F56">
        <f>'Hazard information'!N39</f>
        <v>0</v>
      </c>
      <c r="G56">
        <f>'Hazard information'!P39</f>
        <v>0</v>
      </c>
      <c r="H56">
        <f>'Hazard information'!R39</f>
        <v>0</v>
      </c>
      <c r="I56">
        <f>'Hazard information'!T39</f>
        <v>0</v>
      </c>
      <c r="J56">
        <f>'Hazard information'!V39</f>
        <v>0</v>
      </c>
      <c r="K56">
        <f>'Hazard information'!X39</f>
        <v>0</v>
      </c>
      <c r="L56" s="37" t="e">
        <f t="shared" si="2"/>
        <v>#N/A</v>
      </c>
      <c r="M56">
        <f>'Hazard information'!Z39</f>
        <v>0</v>
      </c>
      <c r="N56">
        <f>'Hazard information'!AB39</f>
        <v>0</v>
      </c>
      <c r="O56">
        <f>'Hazard information'!AD39</f>
        <v>0</v>
      </c>
      <c r="P56">
        <f>'Hazard information'!AF39</f>
        <v>0</v>
      </c>
      <c r="Q56">
        <f>'Hazard information'!AH39</f>
        <v>0</v>
      </c>
      <c r="R56">
        <f>'Hazard information'!AJ39</f>
        <v>0</v>
      </c>
      <c r="S56">
        <f>'Hazard information'!AL39</f>
        <v>0</v>
      </c>
      <c r="T56">
        <f>'Hazard information'!AN39</f>
        <v>0</v>
      </c>
      <c r="U56" s="37">
        <f t="shared" si="0"/>
        <v>0</v>
      </c>
      <c r="V56" s="38">
        <f>'Hazard information'!AO39</f>
        <v>0</v>
      </c>
      <c r="W56">
        <f>'Hazard information'!AQ39</f>
        <v>0</v>
      </c>
      <c r="X56">
        <f>'Hazard information'!AS39</f>
        <v>0</v>
      </c>
      <c r="Y56">
        <f>'Hazard information'!AU39</f>
        <v>0</v>
      </c>
      <c r="Z56">
        <f>'Hazard information'!AW39</f>
        <v>0</v>
      </c>
      <c r="AA56">
        <f>'Hazard information'!AY39</f>
        <v>0</v>
      </c>
      <c r="AB56">
        <f>'Hazard information'!BA39</f>
        <v>0</v>
      </c>
      <c r="AC56">
        <f>'Hazard information'!BC39</f>
        <v>0</v>
      </c>
      <c r="AD56">
        <f>'Hazard information'!BE39</f>
        <v>0</v>
      </c>
      <c r="AE56" s="37">
        <f t="shared" si="1"/>
        <v>0</v>
      </c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37"/>
  <sheetViews>
    <sheetView workbookViewId="0">
      <selection activeCell="A25" sqref="A25"/>
    </sheetView>
  </sheetViews>
  <sheetFormatPr defaultRowHeight="14.4" x14ac:dyDescent="0.3"/>
  <cols>
    <col min="1" max="1" width="59.5546875" bestFit="1" customWidth="1"/>
    <col min="2" max="2" width="22.109375" bestFit="1" customWidth="1"/>
  </cols>
  <sheetData>
    <row r="1" spans="1:2" x14ac:dyDescent="0.3">
      <c r="A1" s="23" t="s">
        <v>206</v>
      </c>
      <c r="B1" s="24" t="s">
        <v>207</v>
      </c>
    </row>
    <row r="2" spans="1:2" x14ac:dyDescent="0.3">
      <c r="A2" s="10" t="s">
        <v>208</v>
      </c>
      <c r="B2" s="10" t="s">
        <v>209</v>
      </c>
    </row>
    <row r="3" spans="1:2" x14ac:dyDescent="0.3">
      <c r="A3" s="10" t="s">
        <v>210</v>
      </c>
      <c r="B3" s="10" t="s">
        <v>209</v>
      </c>
    </row>
    <row r="4" spans="1:2" x14ac:dyDescent="0.3">
      <c r="A4" s="10" t="s">
        <v>211</v>
      </c>
      <c r="B4" s="10" t="s">
        <v>212</v>
      </c>
    </row>
    <row r="5" spans="1:2" x14ac:dyDescent="0.3">
      <c r="A5" s="10" t="s">
        <v>213</v>
      </c>
      <c r="B5" s="10" t="s">
        <v>214</v>
      </c>
    </row>
    <row r="6" spans="1:2" x14ac:dyDescent="0.3">
      <c r="A6" s="10" t="s">
        <v>215</v>
      </c>
      <c r="B6" s="10" t="s">
        <v>214</v>
      </c>
    </row>
    <row r="7" spans="1:2" x14ac:dyDescent="0.3">
      <c r="A7" s="10" t="s">
        <v>216</v>
      </c>
      <c r="B7" s="10" t="s">
        <v>212</v>
      </c>
    </row>
    <row r="8" spans="1:2" x14ac:dyDescent="0.3">
      <c r="A8" s="10" t="s">
        <v>217</v>
      </c>
      <c r="B8" s="10" t="s">
        <v>212</v>
      </c>
    </row>
    <row r="9" spans="1:2" x14ac:dyDescent="0.3">
      <c r="A9" s="10" t="s">
        <v>218</v>
      </c>
      <c r="B9" s="10" t="s">
        <v>212</v>
      </c>
    </row>
    <row r="10" spans="1:2" x14ac:dyDescent="0.3">
      <c r="A10" s="10" t="s">
        <v>218</v>
      </c>
      <c r="B10" s="10" t="s">
        <v>212</v>
      </c>
    </row>
    <row r="11" spans="1:2" x14ac:dyDescent="0.3">
      <c r="A11" s="10" t="s">
        <v>219</v>
      </c>
      <c r="B11" s="10" t="s">
        <v>212</v>
      </c>
    </row>
    <row r="12" spans="1:2" x14ac:dyDescent="0.3">
      <c r="A12" s="10" t="s">
        <v>131</v>
      </c>
      <c r="B12" s="10" t="s">
        <v>212</v>
      </c>
    </row>
    <row r="13" spans="1:2" x14ac:dyDescent="0.3">
      <c r="A13" s="10" t="s">
        <v>220</v>
      </c>
      <c r="B13" s="10" t="s">
        <v>212</v>
      </c>
    </row>
    <row r="14" spans="1:2" x14ac:dyDescent="0.3">
      <c r="A14" s="10" t="s">
        <v>221</v>
      </c>
      <c r="B14" s="10" t="s">
        <v>209</v>
      </c>
    </row>
    <row r="15" spans="1:2" x14ac:dyDescent="0.3">
      <c r="A15" s="10" t="s">
        <v>222</v>
      </c>
      <c r="B15" s="10" t="s">
        <v>212</v>
      </c>
    </row>
    <row r="16" spans="1:2" x14ac:dyDescent="0.3">
      <c r="A16" s="10" t="s">
        <v>223</v>
      </c>
      <c r="B16" s="10" t="s">
        <v>209</v>
      </c>
    </row>
    <row r="17" spans="1:2" x14ac:dyDescent="0.3">
      <c r="A17" s="10" t="s">
        <v>224</v>
      </c>
      <c r="B17" s="10" t="s">
        <v>212</v>
      </c>
    </row>
    <row r="18" spans="1:2" x14ac:dyDescent="0.3">
      <c r="A18" s="10" t="s">
        <v>225</v>
      </c>
      <c r="B18" s="10" t="s">
        <v>209</v>
      </c>
    </row>
    <row r="19" spans="1:2" x14ac:dyDescent="0.3">
      <c r="A19" s="10" t="s">
        <v>226</v>
      </c>
      <c r="B19" s="10" t="s">
        <v>212</v>
      </c>
    </row>
    <row r="20" spans="1:2" x14ac:dyDescent="0.3">
      <c r="A20" s="10" t="s">
        <v>227</v>
      </c>
      <c r="B20" s="10" t="s">
        <v>212</v>
      </c>
    </row>
    <row r="21" spans="1:2" x14ac:dyDescent="0.3">
      <c r="A21" s="10" t="s">
        <v>228</v>
      </c>
      <c r="B21" s="10" t="s">
        <v>214</v>
      </c>
    </row>
    <row r="22" spans="1:2" x14ac:dyDescent="0.3">
      <c r="A22" s="10" t="s">
        <v>229</v>
      </c>
      <c r="B22" s="10" t="s">
        <v>209</v>
      </c>
    </row>
    <row r="23" spans="1:2" x14ac:dyDescent="0.3">
      <c r="A23" s="10" t="s">
        <v>230</v>
      </c>
      <c r="B23" s="10" t="s">
        <v>214</v>
      </c>
    </row>
    <row r="24" spans="1:2" x14ac:dyDescent="0.3">
      <c r="A24" s="10" t="s">
        <v>231</v>
      </c>
      <c r="B24" s="10" t="s">
        <v>232</v>
      </c>
    </row>
    <row r="25" spans="1:2" x14ac:dyDescent="0.3">
      <c r="A25" s="10" t="s">
        <v>233</v>
      </c>
      <c r="B25" s="10" t="s">
        <v>232</v>
      </c>
    </row>
    <row r="26" spans="1:2" x14ac:dyDescent="0.3">
      <c r="A26" s="10" t="s">
        <v>234</v>
      </c>
      <c r="B26" s="10" t="s">
        <v>232</v>
      </c>
    </row>
    <row r="27" spans="1:2" x14ac:dyDescent="0.3">
      <c r="A27" s="10" t="s">
        <v>235</v>
      </c>
      <c r="B27" s="10" t="s">
        <v>232</v>
      </c>
    </row>
    <row r="28" spans="1:2" x14ac:dyDescent="0.3">
      <c r="A28" s="10" t="s">
        <v>236</v>
      </c>
      <c r="B28" s="10" t="s">
        <v>209</v>
      </c>
    </row>
    <row r="29" spans="1:2" x14ac:dyDescent="0.3">
      <c r="A29" s="10" t="s">
        <v>237</v>
      </c>
      <c r="B29" s="10" t="s">
        <v>209</v>
      </c>
    </row>
    <row r="30" spans="1:2" x14ac:dyDescent="0.3">
      <c r="A30" s="10" t="s">
        <v>238</v>
      </c>
      <c r="B30" s="10" t="s">
        <v>209</v>
      </c>
    </row>
    <row r="31" spans="1:2" x14ac:dyDescent="0.3">
      <c r="A31" s="10" t="s">
        <v>239</v>
      </c>
      <c r="B31" s="10" t="s">
        <v>209</v>
      </c>
    </row>
    <row r="32" spans="1:2" x14ac:dyDescent="0.3">
      <c r="A32" s="10" t="s">
        <v>240</v>
      </c>
      <c r="B32" s="10" t="s">
        <v>212</v>
      </c>
    </row>
    <row r="33" spans="1:2" x14ac:dyDescent="0.3">
      <c r="A33" s="10" t="s">
        <v>241</v>
      </c>
      <c r="B33" s="10" t="s">
        <v>214</v>
      </c>
    </row>
    <row r="34" spans="1:2" x14ac:dyDescent="0.3">
      <c r="A34" s="10" t="s">
        <v>242</v>
      </c>
      <c r="B34" s="10" t="s">
        <v>212</v>
      </c>
    </row>
    <row r="35" spans="1:2" x14ac:dyDescent="0.3">
      <c r="A35" s="10" t="s">
        <v>243</v>
      </c>
      <c r="B35" s="10" t="s">
        <v>212</v>
      </c>
    </row>
    <row r="36" spans="1:2" x14ac:dyDescent="0.3">
      <c r="A36" s="10" t="s">
        <v>244</v>
      </c>
      <c r="B36" s="10" t="s">
        <v>214</v>
      </c>
    </row>
    <row r="37" spans="1:2" x14ac:dyDescent="0.3">
      <c r="A37" s="10" t="s">
        <v>245</v>
      </c>
      <c r="B37" s="10" t="s">
        <v>212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Q56"/>
  <sheetViews>
    <sheetView workbookViewId="0">
      <selection activeCell="A3" sqref="A3:A15"/>
    </sheetView>
  </sheetViews>
  <sheetFormatPr defaultRowHeight="14.4" x14ac:dyDescent="0.3"/>
  <cols>
    <col min="1" max="1" width="19.5546875" style="20" bestFit="1" customWidth="1"/>
    <col min="2" max="2" width="27.5546875" bestFit="1" customWidth="1"/>
    <col min="3" max="3" width="2.109375" bestFit="1" customWidth="1"/>
    <col min="4" max="4" width="35.109375" bestFit="1" customWidth="1"/>
    <col min="5" max="5" width="2.109375" bestFit="1" customWidth="1"/>
    <col min="6" max="6" width="21.33203125" bestFit="1" customWidth="1"/>
    <col min="7" max="7" width="2.109375" bestFit="1" customWidth="1"/>
    <col min="8" max="8" width="21.33203125" bestFit="1" customWidth="1"/>
    <col min="9" max="9" width="2.109375" bestFit="1" customWidth="1"/>
    <col min="10" max="10" width="21.33203125" bestFit="1" customWidth="1"/>
    <col min="11" max="11" width="2.109375" bestFit="1" customWidth="1"/>
    <col min="12" max="12" width="22.44140625" bestFit="1" customWidth="1"/>
    <col min="13" max="13" width="2.109375" bestFit="1" customWidth="1"/>
    <col min="14" max="14" width="32.33203125" bestFit="1" customWidth="1"/>
    <col min="15" max="15" width="2.109375" bestFit="1" customWidth="1"/>
    <col min="16" max="16" width="30.88671875" bestFit="1" customWidth="1"/>
    <col min="17" max="17" width="2.109375" bestFit="1" customWidth="1"/>
  </cols>
  <sheetData>
    <row r="1" spans="1:17" ht="15.6" x14ac:dyDescent="0.3">
      <c r="A1" s="20" t="s">
        <v>123</v>
      </c>
      <c r="B1" s="15" t="s">
        <v>81</v>
      </c>
      <c r="C1" s="15"/>
      <c r="D1" s="15" t="s">
        <v>81</v>
      </c>
      <c r="E1" s="15"/>
      <c r="F1" s="15" t="s">
        <v>81</v>
      </c>
      <c r="G1" s="15"/>
      <c r="H1" s="15" t="s">
        <v>81</v>
      </c>
      <c r="I1" s="15"/>
      <c r="J1" s="15" t="s">
        <v>81</v>
      </c>
      <c r="K1" s="15"/>
      <c r="L1" s="15" t="s">
        <v>81</v>
      </c>
      <c r="M1" s="15"/>
      <c r="N1" s="15" t="s">
        <v>81</v>
      </c>
      <c r="O1" s="15"/>
      <c r="P1" s="15" t="s">
        <v>81</v>
      </c>
      <c r="Q1" s="15"/>
    </row>
    <row r="2" spans="1:17" ht="46.8" x14ac:dyDescent="0.3">
      <c r="B2" s="19" t="s">
        <v>104</v>
      </c>
      <c r="C2" s="19"/>
      <c r="D2" s="19" t="s">
        <v>96</v>
      </c>
      <c r="E2" s="19"/>
      <c r="F2" s="19" t="s">
        <v>97</v>
      </c>
      <c r="G2" s="19"/>
      <c r="H2" s="19" t="s">
        <v>98</v>
      </c>
      <c r="I2" s="19"/>
      <c r="J2" s="19" t="s">
        <v>99</v>
      </c>
      <c r="K2" s="19"/>
      <c r="L2" s="19" t="s">
        <v>100</v>
      </c>
      <c r="M2" s="19"/>
      <c r="N2" s="19" t="s">
        <v>101</v>
      </c>
      <c r="O2" s="19"/>
      <c r="P2" s="19" t="s">
        <v>102</v>
      </c>
      <c r="Q2" s="19"/>
    </row>
    <row r="3" spans="1:17" x14ac:dyDescent="0.3">
      <c r="A3" s="20" t="s">
        <v>124</v>
      </c>
      <c r="B3" s="20"/>
      <c r="C3" s="10">
        <f>IF(B3="",0,VLOOKUP(B3,Dropdown!$U$2:$V$6,2,FALSE))</f>
        <v>0</v>
      </c>
      <c r="D3" s="20"/>
      <c r="E3" s="10">
        <f>IF(D3="",0,VLOOKUP(D3,Dropdown!$U$2:$V$6,2,FALSE))</f>
        <v>0</v>
      </c>
      <c r="F3" s="20"/>
      <c r="G3" s="10">
        <f>IF(F3="",0,VLOOKUP(F3,Dropdown!$U$2:$V$6,2,FALSE))</f>
        <v>0</v>
      </c>
      <c r="H3" s="20"/>
      <c r="I3" s="10">
        <f>IF(H3="",0,VLOOKUP(H3,Dropdown!$U$2:$V$6,2,FALSE))</f>
        <v>0</v>
      </c>
      <c r="J3" s="20"/>
      <c r="K3" s="10">
        <f>IF(J3="",0,VLOOKUP(J3,Dropdown!$U$2:$V$6,2,FALSE))</f>
        <v>0</v>
      </c>
      <c r="L3" s="20"/>
      <c r="M3" s="10">
        <f>IF(L3="",0,VLOOKUP(L3,Dropdown!$U$2:$V$6,2,FALSE))</f>
        <v>0</v>
      </c>
      <c r="N3" s="20"/>
      <c r="O3" s="10">
        <f>IF(N3="",0,VLOOKUP(N3,Dropdown!$U$2:$V$6,2,FALSE))</f>
        <v>0</v>
      </c>
      <c r="P3" s="20"/>
      <c r="Q3" s="10">
        <f>IF(P3="",0,VLOOKUP(P3,Dropdown!$U$2:$V$6,2,FALSE))</f>
        <v>0</v>
      </c>
    </row>
    <row r="4" spans="1:17" x14ac:dyDescent="0.3">
      <c r="A4" s="20" t="s">
        <v>125</v>
      </c>
      <c r="B4" s="20"/>
      <c r="C4" s="10">
        <f>IF(B4="",0,VLOOKUP(B4,Dropdown!$U$2:$V$6,2,FALSE))</f>
        <v>0</v>
      </c>
      <c r="D4" s="20"/>
      <c r="E4" s="10">
        <f>IF(D4="",0,VLOOKUP(D4,Dropdown!$U$2:$V$6,2,FALSE))</f>
        <v>0</v>
      </c>
      <c r="F4" s="20"/>
      <c r="G4" s="10">
        <f>IF(F4="",0,VLOOKUP(F4,Dropdown!$U$2:$V$6,2,FALSE))</f>
        <v>0</v>
      </c>
      <c r="H4" s="20"/>
      <c r="I4" s="10">
        <f>IF(H4="",0,VLOOKUP(H4,Dropdown!$U$2:$V$6,2,FALSE))</f>
        <v>0</v>
      </c>
      <c r="J4" s="20"/>
      <c r="K4" s="10">
        <f>IF(J4="",0,VLOOKUP(J4,Dropdown!$U$2:$V$6,2,FALSE))</f>
        <v>0</v>
      </c>
      <c r="L4" s="20"/>
      <c r="M4" s="10">
        <f>IF(L4="",0,VLOOKUP(L4,Dropdown!$U$2:$V$6,2,FALSE))</f>
        <v>0</v>
      </c>
      <c r="N4" s="20"/>
      <c r="O4" s="10">
        <f>IF(N4="",0,VLOOKUP(N4,Dropdown!$U$2:$V$6,2,FALSE))</f>
        <v>0</v>
      </c>
      <c r="P4" s="20"/>
      <c r="Q4" s="10">
        <f>IF(P4="",0,VLOOKUP(P4,Dropdown!$U$2:$V$6,2,FALSE))</f>
        <v>0</v>
      </c>
    </row>
    <row r="5" spans="1:17" x14ac:dyDescent="0.3">
      <c r="A5" s="20" t="s">
        <v>126</v>
      </c>
      <c r="B5" s="20"/>
      <c r="C5" s="10">
        <f>IF(B5="",0,VLOOKUP(B5,Dropdown!$U$2:$V$6,2,FALSE))</f>
        <v>0</v>
      </c>
      <c r="D5" s="20"/>
      <c r="E5" s="10">
        <f>IF(D5="",0,VLOOKUP(D5,Dropdown!$U$2:$V$6,2,FALSE))</f>
        <v>0</v>
      </c>
      <c r="F5" s="20"/>
      <c r="G5" s="10">
        <f>IF(F5="",0,VLOOKUP(F5,Dropdown!$U$2:$V$6,2,FALSE))</f>
        <v>0</v>
      </c>
      <c r="H5" s="20"/>
      <c r="I5" s="10">
        <f>IF(H5="",0,VLOOKUP(H5,Dropdown!$U$2:$V$6,2,FALSE))</f>
        <v>0</v>
      </c>
      <c r="J5" s="20"/>
      <c r="K5" s="10">
        <f>IF(J5="",0,VLOOKUP(J5,Dropdown!$U$2:$V$6,2,FALSE))</f>
        <v>0</v>
      </c>
      <c r="L5" s="20"/>
      <c r="M5" s="10">
        <f>IF(L5="",0,VLOOKUP(L5,Dropdown!$U$2:$V$6,2,FALSE))</f>
        <v>0</v>
      </c>
      <c r="N5" s="20"/>
      <c r="O5" s="10">
        <f>IF(N5="",0,VLOOKUP(N5,Dropdown!$U$2:$V$6,2,FALSE))</f>
        <v>0</v>
      </c>
      <c r="P5" s="20"/>
      <c r="Q5" s="10">
        <f>IF(P5="",0,VLOOKUP(P5,Dropdown!$U$2:$V$6,2,FALSE))</f>
        <v>0</v>
      </c>
    </row>
    <row r="6" spans="1:17" x14ac:dyDescent="0.3">
      <c r="A6" s="20" t="s">
        <v>127</v>
      </c>
      <c r="B6" s="20"/>
      <c r="C6" s="10">
        <f>IF(B6="",0,VLOOKUP(B6,Dropdown!$U$2:$V$6,2,FALSE))</f>
        <v>0</v>
      </c>
      <c r="D6" s="20"/>
      <c r="E6" s="10">
        <f>IF(D6="",0,VLOOKUP(D6,Dropdown!$U$2:$V$6,2,FALSE))</f>
        <v>0</v>
      </c>
      <c r="F6" s="20"/>
      <c r="G6" s="10">
        <f>IF(F6="",0,VLOOKUP(F6,Dropdown!$U$2:$V$6,2,FALSE))</f>
        <v>0</v>
      </c>
      <c r="H6" s="20"/>
      <c r="I6" s="10">
        <f>IF(H6="",0,VLOOKUP(H6,Dropdown!$U$2:$V$6,2,FALSE))</f>
        <v>0</v>
      </c>
      <c r="J6" s="20"/>
      <c r="K6" s="10">
        <f>IF(J6="",0,VLOOKUP(J6,Dropdown!$U$2:$V$6,2,FALSE))</f>
        <v>0</v>
      </c>
      <c r="L6" s="20"/>
      <c r="M6" s="10">
        <f>IF(L6="",0,VLOOKUP(L6,Dropdown!$U$2:$V$6,2,FALSE))</f>
        <v>0</v>
      </c>
      <c r="N6" s="20"/>
      <c r="O6" s="10">
        <f>IF(N6="",0,VLOOKUP(N6,Dropdown!$U$2:$V$6,2,FALSE))</f>
        <v>0</v>
      </c>
      <c r="P6" s="20"/>
      <c r="Q6" s="10">
        <f>IF(P6="",0,VLOOKUP(P6,Dropdown!$U$2:$V$6,2,FALSE))</f>
        <v>0</v>
      </c>
    </row>
    <row r="7" spans="1:17" x14ac:dyDescent="0.3">
      <c r="A7" s="20" t="s">
        <v>128</v>
      </c>
      <c r="B7" s="20"/>
      <c r="C7" s="10">
        <f>IF(B7="",0,VLOOKUP(B7,Dropdown!$U$2:$V$6,2,FALSE))</f>
        <v>0</v>
      </c>
      <c r="D7" s="20"/>
      <c r="E7" s="10">
        <f>IF(D7="",0,VLOOKUP(D7,Dropdown!$U$2:$V$6,2,FALSE))</f>
        <v>0</v>
      </c>
      <c r="F7" s="20"/>
      <c r="G7" s="10">
        <f>IF(F7="",0,VLOOKUP(F7,Dropdown!$U$2:$V$6,2,FALSE))</f>
        <v>0</v>
      </c>
      <c r="H7" s="20"/>
      <c r="I7" s="10">
        <f>IF(H7="",0,VLOOKUP(H7,Dropdown!$U$2:$V$6,2,FALSE))</f>
        <v>0</v>
      </c>
      <c r="J7" s="20"/>
      <c r="K7" s="10">
        <f>IF(J7="",0,VLOOKUP(J7,Dropdown!$U$2:$V$6,2,FALSE))</f>
        <v>0</v>
      </c>
      <c r="L7" s="20"/>
      <c r="M7" s="10">
        <f>IF(L7="",0,VLOOKUP(L7,Dropdown!$U$2:$V$6,2,FALSE))</f>
        <v>0</v>
      </c>
      <c r="N7" s="20"/>
      <c r="O7" s="10">
        <f>IF(N7="",0,VLOOKUP(N7,Dropdown!$U$2:$V$6,2,FALSE))</f>
        <v>0</v>
      </c>
      <c r="P7" s="20"/>
      <c r="Q7" s="10">
        <f>IF(P7="",0,VLOOKUP(P7,Dropdown!$U$2:$V$6,2,FALSE))</f>
        <v>0</v>
      </c>
    </row>
    <row r="8" spans="1:17" x14ac:dyDescent="0.3">
      <c r="A8" s="20" t="s">
        <v>129</v>
      </c>
      <c r="B8" s="20"/>
      <c r="C8" s="10">
        <f>IF(B8="",0,VLOOKUP(B8,Dropdown!$U$2:$V$6,2,FALSE))</f>
        <v>0</v>
      </c>
      <c r="D8" s="20"/>
      <c r="E8" s="10">
        <f>IF(D8="",0,VLOOKUP(D8,Dropdown!$U$2:$V$6,2,FALSE))</f>
        <v>0</v>
      </c>
      <c r="F8" s="20"/>
      <c r="G8" s="10">
        <f>IF(F8="",0,VLOOKUP(F8,Dropdown!$U$2:$V$6,2,FALSE))</f>
        <v>0</v>
      </c>
      <c r="H8" s="20"/>
      <c r="I8" s="10">
        <f>IF(H8="",0,VLOOKUP(H8,Dropdown!$U$2:$V$6,2,FALSE))</f>
        <v>0</v>
      </c>
      <c r="J8" s="20"/>
      <c r="K8" s="10">
        <f>IF(J8="",0,VLOOKUP(J8,Dropdown!$U$2:$V$6,2,FALSE))</f>
        <v>0</v>
      </c>
      <c r="L8" s="20"/>
      <c r="M8" s="10">
        <f>IF(L8="",0,VLOOKUP(L8,Dropdown!$U$2:$V$6,2,FALSE))</f>
        <v>0</v>
      </c>
      <c r="N8" s="20"/>
      <c r="O8" s="10">
        <f>IF(N8="",0,VLOOKUP(N8,Dropdown!$U$2:$V$6,2,FALSE))</f>
        <v>0</v>
      </c>
      <c r="P8" s="20"/>
      <c r="Q8" s="10">
        <f>IF(P8="",0,VLOOKUP(P8,Dropdown!$U$2:$V$6,2,FALSE))</f>
        <v>0</v>
      </c>
    </row>
    <row r="9" spans="1:17" x14ac:dyDescent="0.3">
      <c r="A9" s="20" t="s">
        <v>130</v>
      </c>
      <c r="B9" s="20"/>
      <c r="C9" s="10">
        <f>IF(B9="",0,VLOOKUP(B9,Dropdown!$U$2:$V$6,2,FALSE))</f>
        <v>0</v>
      </c>
      <c r="D9" s="20"/>
      <c r="E9" s="10">
        <f>IF(D9="",0,VLOOKUP(D9,Dropdown!$U$2:$V$6,2,FALSE))</f>
        <v>0</v>
      </c>
      <c r="F9" s="20"/>
      <c r="G9" s="10">
        <f>IF(F9="",0,VLOOKUP(F9,Dropdown!$U$2:$V$6,2,FALSE))</f>
        <v>0</v>
      </c>
      <c r="H9" s="20"/>
      <c r="I9" s="10">
        <f>IF(H9="",0,VLOOKUP(H9,Dropdown!$U$2:$V$6,2,FALSE))</f>
        <v>0</v>
      </c>
      <c r="J9" s="20"/>
      <c r="K9" s="10">
        <f>IF(J9="",0,VLOOKUP(J9,Dropdown!$U$2:$V$6,2,FALSE))</f>
        <v>0</v>
      </c>
      <c r="L9" s="20"/>
      <c r="M9" s="10">
        <f>IF(L9="",0,VLOOKUP(L9,Dropdown!$U$2:$V$6,2,FALSE))</f>
        <v>0</v>
      </c>
      <c r="N9" s="20"/>
      <c r="O9" s="10">
        <f>IF(N9="",0,VLOOKUP(N9,Dropdown!$U$2:$V$6,2,FALSE))</f>
        <v>0</v>
      </c>
      <c r="P9" s="20"/>
      <c r="Q9" s="10">
        <f>IF(P9="",0,VLOOKUP(P9,Dropdown!$U$2:$V$6,2,FALSE))</f>
        <v>0</v>
      </c>
    </row>
    <row r="10" spans="1:17" x14ac:dyDescent="0.3">
      <c r="A10" s="20" t="s">
        <v>115</v>
      </c>
      <c r="B10" s="20"/>
      <c r="C10" s="10">
        <f>IF(B10="",0,VLOOKUP(B10,Dropdown!$U$2:$V$6,2,FALSE))</f>
        <v>0</v>
      </c>
      <c r="D10" s="20"/>
      <c r="E10" s="10">
        <f>IF(D10="",0,VLOOKUP(D10,Dropdown!$U$2:$V$6,2,FALSE))</f>
        <v>0</v>
      </c>
      <c r="F10" s="20"/>
      <c r="G10" s="10">
        <f>IF(F10="",0,VLOOKUP(F10,Dropdown!$U$2:$V$6,2,FALSE))</f>
        <v>0</v>
      </c>
      <c r="H10" s="20"/>
      <c r="I10" s="10">
        <f>IF(H10="",0,VLOOKUP(H10,Dropdown!$U$2:$V$6,2,FALSE))</f>
        <v>0</v>
      </c>
      <c r="J10" s="20"/>
      <c r="K10" s="10">
        <f>IF(J10="",0,VLOOKUP(J10,Dropdown!$U$2:$V$6,2,FALSE))</f>
        <v>0</v>
      </c>
      <c r="L10" s="20"/>
      <c r="M10" s="10">
        <f>IF(L10="",0,VLOOKUP(L10,Dropdown!$U$2:$V$6,2,FALSE))</f>
        <v>0</v>
      </c>
      <c r="N10" s="20"/>
      <c r="O10" s="10">
        <f>IF(N10="",0,VLOOKUP(N10,Dropdown!$U$2:$V$6,2,FALSE))</f>
        <v>0</v>
      </c>
      <c r="P10" s="20"/>
      <c r="Q10" s="10">
        <f>IF(P10="",0,VLOOKUP(P10,Dropdown!$U$2:$V$6,2,FALSE))</f>
        <v>0</v>
      </c>
    </row>
    <row r="11" spans="1:17" x14ac:dyDescent="0.3">
      <c r="A11" s="20" t="s">
        <v>131</v>
      </c>
      <c r="B11" s="20"/>
      <c r="C11" s="10">
        <f>IF(B11="",0,VLOOKUP(B11,Dropdown!$U$2:$V$6,2,FALSE))</f>
        <v>0</v>
      </c>
      <c r="D11" s="20"/>
      <c r="E11" s="10">
        <f>IF(D11="",0,VLOOKUP(D11,Dropdown!$U$2:$V$6,2,FALSE))</f>
        <v>0</v>
      </c>
      <c r="F11" s="20"/>
      <c r="G11" s="10">
        <f>IF(F11="",0,VLOOKUP(F11,Dropdown!$U$2:$V$6,2,FALSE))</f>
        <v>0</v>
      </c>
      <c r="H11" s="20"/>
      <c r="I11" s="10">
        <f>IF(H11="",0,VLOOKUP(H11,Dropdown!$U$2:$V$6,2,FALSE))</f>
        <v>0</v>
      </c>
      <c r="J11" s="20"/>
      <c r="K11" s="10">
        <f>IF(J11="",0,VLOOKUP(J11,Dropdown!$U$2:$V$6,2,FALSE))</f>
        <v>0</v>
      </c>
      <c r="L11" s="20"/>
      <c r="M11" s="10">
        <f>IF(L11="",0,VLOOKUP(L11,Dropdown!$U$2:$V$6,2,FALSE))</f>
        <v>0</v>
      </c>
      <c r="N11" s="20"/>
      <c r="O11" s="10">
        <f>IF(N11="",0,VLOOKUP(N11,Dropdown!$U$2:$V$6,2,FALSE))</f>
        <v>0</v>
      </c>
      <c r="P11" s="20"/>
      <c r="Q11" s="10">
        <f>IF(P11="",0,VLOOKUP(P11,Dropdown!$U$2:$V$6,2,FALSE))</f>
        <v>0</v>
      </c>
    </row>
    <row r="12" spans="1:17" x14ac:dyDescent="0.3">
      <c r="A12" s="20" t="s">
        <v>132</v>
      </c>
      <c r="B12" s="20"/>
      <c r="C12" s="10">
        <f>IF(B12="",0,VLOOKUP(B12,Dropdown!$U$2:$V$6,2,FALSE))</f>
        <v>0</v>
      </c>
      <c r="D12" s="20"/>
      <c r="E12" s="10">
        <f>IF(D12="",0,VLOOKUP(D12,Dropdown!$U$2:$V$6,2,FALSE))</f>
        <v>0</v>
      </c>
      <c r="F12" s="20"/>
      <c r="G12" s="10">
        <f>IF(F12="",0,VLOOKUP(F12,Dropdown!$U$2:$V$6,2,FALSE))</f>
        <v>0</v>
      </c>
      <c r="H12" s="20"/>
      <c r="I12" s="10">
        <f>IF(H12="",0,VLOOKUP(H12,Dropdown!$U$2:$V$6,2,FALSE))</f>
        <v>0</v>
      </c>
      <c r="J12" s="20"/>
      <c r="K12" s="10">
        <f>IF(J12="",0,VLOOKUP(J12,Dropdown!$U$2:$V$6,2,FALSE))</f>
        <v>0</v>
      </c>
      <c r="L12" s="20"/>
      <c r="M12" s="10">
        <f>IF(L12="",0,VLOOKUP(L12,Dropdown!$U$2:$V$6,2,FALSE))</f>
        <v>0</v>
      </c>
      <c r="N12" s="20"/>
      <c r="O12" s="10">
        <f>IF(N12="",0,VLOOKUP(N12,Dropdown!$U$2:$V$6,2,FALSE))</f>
        <v>0</v>
      </c>
      <c r="P12" s="20"/>
      <c r="Q12" s="10">
        <f>IF(P12="",0,VLOOKUP(P12,Dropdown!$U$2:$V$6,2,FALSE))</f>
        <v>0</v>
      </c>
    </row>
    <row r="13" spans="1:17" x14ac:dyDescent="0.3">
      <c r="A13" s="20" t="s">
        <v>133</v>
      </c>
      <c r="B13" s="20"/>
      <c r="C13" s="10">
        <f>IF(B13="",0,VLOOKUP(B13,Dropdown!$U$2:$V$6,2,FALSE))</f>
        <v>0</v>
      </c>
      <c r="D13" s="20"/>
      <c r="E13" s="10">
        <f>IF(D13="",0,VLOOKUP(D13,Dropdown!$U$2:$V$6,2,FALSE))</f>
        <v>0</v>
      </c>
      <c r="F13" s="20"/>
      <c r="G13" s="10">
        <f>IF(F13="",0,VLOOKUP(F13,Dropdown!$U$2:$V$6,2,FALSE))</f>
        <v>0</v>
      </c>
      <c r="H13" s="20"/>
      <c r="I13" s="10">
        <f>IF(H13="",0,VLOOKUP(H13,Dropdown!$U$2:$V$6,2,FALSE))</f>
        <v>0</v>
      </c>
      <c r="J13" s="20"/>
      <c r="K13" s="10">
        <f>IF(J13="",0,VLOOKUP(J13,Dropdown!$U$2:$V$6,2,FALSE))</f>
        <v>0</v>
      </c>
      <c r="L13" s="20"/>
      <c r="M13" s="10">
        <f>IF(L13="",0,VLOOKUP(L13,Dropdown!$U$2:$V$6,2,FALSE))</f>
        <v>0</v>
      </c>
      <c r="N13" s="20"/>
      <c r="O13" s="10">
        <f>IF(N13="",0,VLOOKUP(N13,Dropdown!$U$2:$V$6,2,FALSE))</f>
        <v>0</v>
      </c>
      <c r="P13" s="20"/>
      <c r="Q13" s="10">
        <f>IF(P13="",0,VLOOKUP(P13,Dropdown!$U$2:$V$6,2,FALSE))</f>
        <v>0</v>
      </c>
    </row>
    <row r="14" spans="1:17" x14ac:dyDescent="0.3">
      <c r="A14" s="20" t="s">
        <v>134</v>
      </c>
      <c r="B14" s="20"/>
      <c r="C14" s="10">
        <f>IF(B14="",0,VLOOKUP(B14,Dropdown!$U$2:$V$6,2,FALSE))</f>
        <v>0</v>
      </c>
      <c r="D14" s="20"/>
      <c r="E14" s="10">
        <f>IF(D14="",0,VLOOKUP(D14,Dropdown!$U$2:$V$6,2,FALSE))</f>
        <v>0</v>
      </c>
      <c r="F14" s="20"/>
      <c r="G14" s="10">
        <f>IF(F14="",0,VLOOKUP(F14,Dropdown!$U$2:$V$6,2,FALSE))</f>
        <v>0</v>
      </c>
      <c r="H14" s="20"/>
      <c r="I14" s="10">
        <f>IF(H14="",0,VLOOKUP(H14,Dropdown!$U$2:$V$6,2,FALSE))</f>
        <v>0</v>
      </c>
      <c r="J14" s="20"/>
      <c r="K14" s="10">
        <f>IF(J14="",0,VLOOKUP(J14,Dropdown!$U$2:$V$6,2,FALSE))</f>
        <v>0</v>
      </c>
      <c r="L14" s="20"/>
      <c r="M14" s="10">
        <f>IF(L14="",0,VLOOKUP(L14,Dropdown!$U$2:$V$6,2,FALSE))</f>
        <v>0</v>
      </c>
      <c r="N14" s="20"/>
      <c r="O14" s="10">
        <f>IF(N14="",0,VLOOKUP(N14,Dropdown!$U$2:$V$6,2,FALSE))</f>
        <v>0</v>
      </c>
      <c r="P14" s="20"/>
      <c r="Q14" s="10">
        <f>IF(P14="",0,VLOOKUP(P14,Dropdown!$U$2:$V$6,2,FALSE))</f>
        <v>0</v>
      </c>
    </row>
    <row r="15" spans="1:17" x14ac:dyDescent="0.3">
      <c r="A15" s="20" t="s">
        <v>135</v>
      </c>
      <c r="B15" s="20"/>
      <c r="C15" s="10">
        <f>IF(B15="",0,VLOOKUP(B15,Dropdown!$U$2:$V$6,2,FALSE))</f>
        <v>0</v>
      </c>
      <c r="D15" s="20"/>
      <c r="E15" s="10">
        <f>IF(D15="",0,VLOOKUP(D15,Dropdown!$U$2:$V$6,2,FALSE))</f>
        <v>0</v>
      </c>
      <c r="F15" s="20"/>
      <c r="G15" s="10">
        <f>IF(F15="",0,VLOOKUP(F15,Dropdown!$U$2:$V$6,2,FALSE))</f>
        <v>0</v>
      </c>
      <c r="H15" s="20"/>
      <c r="I15" s="10">
        <f>IF(H15="",0,VLOOKUP(H15,Dropdown!$U$2:$V$6,2,FALSE))</f>
        <v>0</v>
      </c>
      <c r="J15" s="20"/>
      <c r="K15" s="10">
        <f>IF(J15="",0,VLOOKUP(J15,Dropdown!$U$2:$V$6,2,FALSE))</f>
        <v>0</v>
      </c>
      <c r="L15" s="20"/>
      <c r="M15" s="10">
        <f>IF(L15="",0,VLOOKUP(L15,Dropdown!$U$2:$V$6,2,FALSE))</f>
        <v>0</v>
      </c>
      <c r="N15" s="20"/>
      <c r="O15" s="10">
        <f>IF(N15="",0,VLOOKUP(N15,Dropdown!$U$2:$V$6,2,FALSE))</f>
        <v>0</v>
      </c>
      <c r="P15" s="20"/>
      <c r="Q15" s="10">
        <f>IF(P15="",0,VLOOKUP(P15,Dropdown!$U$2:$V$6,2,FALSE))</f>
        <v>0</v>
      </c>
    </row>
    <row r="16" spans="1:17" x14ac:dyDescent="0.3">
      <c r="B16" s="20"/>
      <c r="C16" s="10">
        <f>IF(B16="",0,VLOOKUP(B16,Dropdown!$U$2:$V$6,2,FALSE))</f>
        <v>0</v>
      </c>
      <c r="D16" s="20"/>
      <c r="E16" s="10">
        <f>IF(D16="",0,VLOOKUP(D16,Dropdown!$U$2:$V$6,2,FALSE))</f>
        <v>0</v>
      </c>
      <c r="F16" s="20"/>
      <c r="G16" s="10">
        <f>IF(F16="",0,VLOOKUP(F16,Dropdown!$U$2:$V$6,2,FALSE))</f>
        <v>0</v>
      </c>
      <c r="H16" s="20"/>
      <c r="I16" s="10">
        <f>IF(H16="",0,VLOOKUP(H16,Dropdown!$U$2:$V$6,2,FALSE))</f>
        <v>0</v>
      </c>
      <c r="J16" s="20"/>
      <c r="K16" s="10">
        <f>IF(J16="",0,VLOOKUP(J16,Dropdown!$U$2:$V$6,2,FALSE))</f>
        <v>0</v>
      </c>
      <c r="L16" s="20"/>
      <c r="M16" s="10">
        <f>IF(L16="",0,VLOOKUP(L16,Dropdown!$U$2:$V$6,2,FALSE))</f>
        <v>0</v>
      </c>
      <c r="N16" s="20"/>
      <c r="O16" s="10">
        <f>IF(N16="",0,VLOOKUP(N16,Dropdown!$U$2:$V$6,2,FALSE))</f>
        <v>0</v>
      </c>
      <c r="P16" s="20"/>
      <c r="Q16" s="10">
        <f>IF(P16="",0,VLOOKUP(P16,Dropdown!$U$2:$V$6,2,FALSE))</f>
        <v>0</v>
      </c>
    </row>
    <row r="17" spans="2:17" x14ac:dyDescent="0.3">
      <c r="B17" s="20"/>
      <c r="C17" s="10">
        <f>IF(B17="",0,VLOOKUP(B17,Dropdown!$U$2:$V$6,2,FALSE))</f>
        <v>0</v>
      </c>
      <c r="D17" s="20"/>
      <c r="E17" s="10">
        <f>IF(D17="",0,VLOOKUP(D17,Dropdown!$U$2:$V$6,2,FALSE))</f>
        <v>0</v>
      </c>
      <c r="F17" s="20"/>
      <c r="G17" s="10">
        <f>IF(F17="",0,VLOOKUP(F17,Dropdown!$U$2:$V$6,2,FALSE))</f>
        <v>0</v>
      </c>
      <c r="H17" s="20"/>
      <c r="I17" s="10">
        <f>IF(H17="",0,VLOOKUP(H17,Dropdown!$U$2:$V$6,2,FALSE))</f>
        <v>0</v>
      </c>
      <c r="J17" s="20"/>
      <c r="K17" s="10">
        <f>IF(J17="",0,VLOOKUP(J17,Dropdown!$U$2:$V$6,2,FALSE))</f>
        <v>0</v>
      </c>
      <c r="L17" s="20"/>
      <c r="M17" s="10">
        <f>IF(L17="",0,VLOOKUP(L17,Dropdown!$U$2:$V$6,2,FALSE))</f>
        <v>0</v>
      </c>
      <c r="N17" s="20"/>
      <c r="O17" s="10">
        <f>IF(N17="",0,VLOOKUP(N17,Dropdown!$U$2:$V$6,2,FALSE))</f>
        <v>0</v>
      </c>
      <c r="P17" s="20"/>
      <c r="Q17" s="10">
        <f>IF(P17="",0,VLOOKUP(P17,Dropdown!$U$2:$V$6,2,FALSE))</f>
        <v>0</v>
      </c>
    </row>
    <row r="18" spans="2:17" x14ac:dyDescent="0.3">
      <c r="B18" s="20"/>
      <c r="C18" s="10">
        <f>IF(B18="",0,VLOOKUP(B18,Dropdown!$U$2:$V$6,2,FALSE))</f>
        <v>0</v>
      </c>
      <c r="D18" s="20"/>
      <c r="E18" s="10">
        <f>IF(D18="",0,VLOOKUP(D18,Dropdown!$U$2:$V$6,2,FALSE))</f>
        <v>0</v>
      </c>
      <c r="F18" s="20"/>
      <c r="G18" s="10">
        <f>IF(F18="",0,VLOOKUP(F18,Dropdown!$U$2:$V$6,2,FALSE))</f>
        <v>0</v>
      </c>
      <c r="H18" s="20"/>
      <c r="I18" s="10">
        <f>IF(H18="",0,VLOOKUP(H18,Dropdown!$U$2:$V$6,2,FALSE))</f>
        <v>0</v>
      </c>
      <c r="J18" s="20"/>
      <c r="K18" s="10">
        <f>IF(J18="",0,VLOOKUP(J18,Dropdown!$U$2:$V$6,2,FALSE))</f>
        <v>0</v>
      </c>
      <c r="L18" s="20"/>
      <c r="M18" s="10">
        <f>IF(L18="",0,VLOOKUP(L18,Dropdown!$U$2:$V$6,2,FALSE))</f>
        <v>0</v>
      </c>
      <c r="N18" s="20"/>
      <c r="O18" s="10">
        <f>IF(N18="",0,VLOOKUP(N18,Dropdown!$U$2:$V$6,2,FALSE))</f>
        <v>0</v>
      </c>
      <c r="P18" s="20"/>
      <c r="Q18" s="10">
        <f>IF(P18="",0,VLOOKUP(P18,Dropdown!$U$2:$V$6,2,FALSE))</f>
        <v>0</v>
      </c>
    </row>
    <row r="19" spans="2:17" x14ac:dyDescent="0.3">
      <c r="B19" s="20"/>
      <c r="C19" s="10">
        <f>IF(B19="",0,VLOOKUP(B19,Dropdown!$U$2:$V$6,2,FALSE))</f>
        <v>0</v>
      </c>
      <c r="D19" s="20"/>
      <c r="E19" s="10">
        <f>IF(D19="",0,VLOOKUP(D19,Dropdown!$U$2:$V$6,2,FALSE))</f>
        <v>0</v>
      </c>
      <c r="F19" s="20"/>
      <c r="G19" s="10">
        <f>IF(F19="",0,VLOOKUP(F19,Dropdown!$U$2:$V$6,2,FALSE))</f>
        <v>0</v>
      </c>
      <c r="H19" s="20"/>
      <c r="I19" s="10">
        <f>IF(H19="",0,VLOOKUP(H19,Dropdown!$U$2:$V$6,2,FALSE))</f>
        <v>0</v>
      </c>
      <c r="J19" s="20"/>
      <c r="K19" s="10">
        <f>IF(J19="",0,VLOOKUP(J19,Dropdown!$U$2:$V$6,2,FALSE))</f>
        <v>0</v>
      </c>
      <c r="L19" s="20"/>
      <c r="M19" s="10">
        <f>IF(L19="",0,VLOOKUP(L19,Dropdown!$U$2:$V$6,2,FALSE))</f>
        <v>0</v>
      </c>
      <c r="N19" s="20"/>
      <c r="O19" s="10">
        <f>IF(N19="",0,VLOOKUP(N19,Dropdown!$U$2:$V$6,2,FALSE))</f>
        <v>0</v>
      </c>
      <c r="P19" s="20"/>
      <c r="Q19" s="10">
        <f>IF(P19="",0,VLOOKUP(P19,Dropdown!$U$2:$V$6,2,FALSE))</f>
        <v>0</v>
      </c>
    </row>
    <row r="20" spans="2:17" x14ac:dyDescent="0.3">
      <c r="B20" s="20"/>
      <c r="C20" s="10">
        <f>IF(B20="",0,VLOOKUP(B20,Dropdown!$U$2:$V$6,2,FALSE))</f>
        <v>0</v>
      </c>
      <c r="D20" s="20"/>
      <c r="E20" s="10">
        <f>IF(D20="",0,VLOOKUP(D20,Dropdown!$U$2:$V$6,2,FALSE))</f>
        <v>0</v>
      </c>
      <c r="F20" s="20"/>
      <c r="G20" s="10">
        <f>IF(F20="",0,VLOOKUP(F20,Dropdown!$U$2:$V$6,2,FALSE))</f>
        <v>0</v>
      </c>
      <c r="H20" s="20"/>
      <c r="I20" s="10">
        <f>IF(H20="",0,VLOOKUP(H20,Dropdown!$U$2:$V$6,2,FALSE))</f>
        <v>0</v>
      </c>
      <c r="J20" s="20"/>
      <c r="K20" s="10">
        <f>IF(J20="",0,VLOOKUP(J20,Dropdown!$U$2:$V$6,2,FALSE))</f>
        <v>0</v>
      </c>
      <c r="L20" s="20"/>
      <c r="M20" s="10">
        <f>IF(L20="",0,VLOOKUP(L20,Dropdown!$U$2:$V$6,2,FALSE))</f>
        <v>0</v>
      </c>
      <c r="N20" s="20"/>
      <c r="O20" s="10">
        <f>IF(N20="",0,VLOOKUP(N20,Dropdown!$U$2:$V$6,2,FALSE))</f>
        <v>0</v>
      </c>
      <c r="P20" s="20"/>
      <c r="Q20" s="10">
        <f>IF(P20="",0,VLOOKUP(P20,Dropdown!$U$2:$V$6,2,FALSE))</f>
        <v>0</v>
      </c>
    </row>
    <row r="21" spans="2:17" x14ac:dyDescent="0.3">
      <c r="B21" s="20"/>
      <c r="C21" s="10">
        <f>IF(B21="",0,VLOOKUP(B21,Dropdown!$U$2:$V$6,2,FALSE))</f>
        <v>0</v>
      </c>
      <c r="D21" s="20"/>
      <c r="E21" s="10">
        <f>IF(D21="",0,VLOOKUP(D21,Dropdown!$U$2:$V$6,2,FALSE))</f>
        <v>0</v>
      </c>
      <c r="F21" s="20"/>
      <c r="G21" s="10">
        <f>IF(F21="",0,VLOOKUP(F21,Dropdown!$U$2:$V$6,2,FALSE))</f>
        <v>0</v>
      </c>
      <c r="H21" s="20"/>
      <c r="I21" s="10">
        <f>IF(H21="",0,VLOOKUP(H21,Dropdown!$U$2:$V$6,2,FALSE))</f>
        <v>0</v>
      </c>
      <c r="J21" s="20"/>
      <c r="K21" s="10">
        <f>IF(J21="",0,VLOOKUP(J21,Dropdown!$U$2:$V$6,2,FALSE))</f>
        <v>0</v>
      </c>
      <c r="L21" s="20"/>
      <c r="M21" s="10">
        <f>IF(L21="",0,VLOOKUP(L21,Dropdown!$U$2:$V$6,2,FALSE))</f>
        <v>0</v>
      </c>
      <c r="N21" s="20"/>
      <c r="O21" s="10">
        <f>IF(N21="",0,VLOOKUP(N21,Dropdown!$U$2:$V$6,2,FALSE))</f>
        <v>0</v>
      </c>
      <c r="P21" s="20"/>
      <c r="Q21" s="10">
        <f>IF(P21="",0,VLOOKUP(P21,Dropdown!$U$2:$V$6,2,FALSE))</f>
        <v>0</v>
      </c>
    </row>
    <row r="22" spans="2:17" x14ac:dyDescent="0.3">
      <c r="B22" s="20"/>
      <c r="C22" s="10">
        <f>IF(B22="",0,VLOOKUP(B22,Dropdown!$U$2:$V$6,2,FALSE))</f>
        <v>0</v>
      </c>
      <c r="D22" s="20"/>
      <c r="E22" s="10">
        <f>IF(D22="",0,VLOOKUP(D22,Dropdown!$U$2:$V$6,2,FALSE))</f>
        <v>0</v>
      </c>
      <c r="F22" s="20"/>
      <c r="G22" s="10">
        <f>IF(F22="",0,VLOOKUP(F22,Dropdown!$U$2:$V$6,2,FALSE))</f>
        <v>0</v>
      </c>
      <c r="H22" s="20"/>
      <c r="I22" s="10">
        <f>IF(H22="",0,VLOOKUP(H22,Dropdown!$U$2:$V$6,2,FALSE))</f>
        <v>0</v>
      </c>
      <c r="J22" s="20"/>
      <c r="K22" s="10">
        <f>IF(J22="",0,VLOOKUP(J22,Dropdown!$U$2:$V$6,2,FALSE))</f>
        <v>0</v>
      </c>
      <c r="L22" s="20"/>
      <c r="M22" s="10">
        <f>IF(L22="",0,VLOOKUP(L22,Dropdown!$U$2:$V$6,2,FALSE))</f>
        <v>0</v>
      </c>
      <c r="N22" s="20"/>
      <c r="O22" s="10">
        <f>IF(N22="",0,VLOOKUP(N22,Dropdown!$U$2:$V$6,2,FALSE))</f>
        <v>0</v>
      </c>
      <c r="P22" s="20"/>
      <c r="Q22" s="10">
        <f>IF(P22="",0,VLOOKUP(P22,Dropdown!$U$2:$V$6,2,FALSE))</f>
        <v>0</v>
      </c>
    </row>
    <row r="23" spans="2:17" x14ac:dyDescent="0.3">
      <c r="B23" s="20"/>
      <c r="C23" s="10">
        <f>IF(B23="",0,VLOOKUP(B23,Dropdown!$U$2:$V$6,2,FALSE))</f>
        <v>0</v>
      </c>
      <c r="D23" s="20"/>
      <c r="E23" s="10">
        <f>IF(D23="",0,VLOOKUP(D23,Dropdown!$U$2:$V$6,2,FALSE))</f>
        <v>0</v>
      </c>
      <c r="F23" s="20"/>
      <c r="G23" s="10">
        <f>IF(F23="",0,VLOOKUP(F23,Dropdown!$U$2:$V$6,2,FALSE))</f>
        <v>0</v>
      </c>
      <c r="H23" s="20"/>
      <c r="I23" s="10">
        <f>IF(H23="",0,VLOOKUP(H23,Dropdown!$U$2:$V$6,2,FALSE))</f>
        <v>0</v>
      </c>
      <c r="J23" s="20"/>
      <c r="K23" s="10">
        <f>IF(J23="",0,VLOOKUP(J23,Dropdown!$U$2:$V$6,2,FALSE))</f>
        <v>0</v>
      </c>
      <c r="L23" s="20"/>
      <c r="M23" s="10">
        <f>IF(L23="",0,VLOOKUP(L23,Dropdown!$U$2:$V$6,2,FALSE))</f>
        <v>0</v>
      </c>
      <c r="N23" s="20"/>
      <c r="O23" s="10">
        <f>IF(N23="",0,VLOOKUP(N23,Dropdown!$U$2:$V$6,2,FALSE))</f>
        <v>0</v>
      </c>
      <c r="P23" s="20"/>
      <c r="Q23" s="10">
        <f>IF(P23="",0,VLOOKUP(P23,Dropdown!$U$2:$V$6,2,FALSE))</f>
        <v>0</v>
      </c>
    </row>
    <row r="24" spans="2:17" x14ac:dyDescent="0.3">
      <c r="B24" s="20"/>
      <c r="C24" s="10">
        <f>IF(B24="",0,VLOOKUP(B24,Dropdown!$U$2:$V$6,2,FALSE))</f>
        <v>0</v>
      </c>
      <c r="D24" s="20"/>
      <c r="E24" s="10">
        <f>IF(D24="",0,VLOOKUP(D24,Dropdown!$U$2:$V$6,2,FALSE))</f>
        <v>0</v>
      </c>
      <c r="F24" s="20"/>
      <c r="G24" s="10">
        <f>IF(F24="",0,VLOOKUP(F24,Dropdown!$U$2:$V$6,2,FALSE))</f>
        <v>0</v>
      </c>
      <c r="H24" s="20"/>
      <c r="I24" s="10">
        <f>IF(H24="",0,VLOOKUP(H24,Dropdown!$U$2:$V$6,2,FALSE))</f>
        <v>0</v>
      </c>
      <c r="J24" s="20"/>
      <c r="K24" s="10">
        <f>IF(J24="",0,VLOOKUP(J24,Dropdown!$U$2:$V$6,2,FALSE))</f>
        <v>0</v>
      </c>
      <c r="L24" s="20"/>
      <c r="M24" s="10">
        <f>IF(L24="",0,VLOOKUP(L24,Dropdown!$U$2:$V$6,2,FALSE))</f>
        <v>0</v>
      </c>
      <c r="N24" s="20"/>
      <c r="O24" s="10">
        <f>IF(N24="",0,VLOOKUP(N24,Dropdown!$U$2:$V$6,2,FALSE))</f>
        <v>0</v>
      </c>
      <c r="P24" s="20"/>
      <c r="Q24" s="10">
        <f>IF(P24="",0,VLOOKUP(P24,Dropdown!$U$2:$V$6,2,FALSE))</f>
        <v>0</v>
      </c>
    </row>
    <row r="25" spans="2:17" x14ac:dyDescent="0.3">
      <c r="B25" s="20"/>
      <c r="C25" s="10">
        <f>IF(B25="",0,VLOOKUP(B25,Dropdown!$U$2:$V$6,2,FALSE))</f>
        <v>0</v>
      </c>
      <c r="D25" s="20"/>
      <c r="E25" s="10">
        <f>IF(D25="",0,VLOOKUP(D25,Dropdown!$U$2:$V$6,2,FALSE))</f>
        <v>0</v>
      </c>
      <c r="F25" s="20"/>
      <c r="G25" s="10">
        <f>IF(F25="",0,VLOOKUP(F25,Dropdown!$U$2:$V$6,2,FALSE))</f>
        <v>0</v>
      </c>
      <c r="H25" s="20"/>
      <c r="I25" s="10">
        <f>IF(H25="",0,VLOOKUP(H25,Dropdown!$U$2:$V$6,2,FALSE))</f>
        <v>0</v>
      </c>
      <c r="J25" s="20"/>
      <c r="K25" s="10">
        <f>IF(J25="",0,VLOOKUP(J25,Dropdown!$U$2:$V$6,2,FALSE))</f>
        <v>0</v>
      </c>
      <c r="L25" s="20"/>
      <c r="M25" s="10">
        <f>IF(L25="",0,VLOOKUP(L25,Dropdown!$U$2:$V$6,2,FALSE))</f>
        <v>0</v>
      </c>
      <c r="N25" s="20"/>
      <c r="O25" s="10">
        <f>IF(N25="",0,VLOOKUP(N25,Dropdown!$U$2:$V$6,2,FALSE))</f>
        <v>0</v>
      </c>
      <c r="P25" s="20"/>
      <c r="Q25" s="10">
        <f>IF(P25="",0,VLOOKUP(P25,Dropdown!$U$2:$V$6,2,FALSE))</f>
        <v>0</v>
      </c>
    </row>
    <row r="26" spans="2:17" x14ac:dyDescent="0.3">
      <c r="B26" s="20"/>
      <c r="C26" s="10">
        <f>IF(B26="",0,VLOOKUP(B26,Dropdown!$U$2:$V$6,2,FALSE))</f>
        <v>0</v>
      </c>
      <c r="D26" s="20"/>
      <c r="E26" s="10">
        <f>IF(D26="",0,VLOOKUP(D26,Dropdown!$U$2:$V$6,2,FALSE))</f>
        <v>0</v>
      </c>
      <c r="F26" s="20"/>
      <c r="G26" s="10">
        <f>IF(F26="",0,VLOOKUP(F26,Dropdown!$U$2:$V$6,2,FALSE))</f>
        <v>0</v>
      </c>
      <c r="H26" s="20"/>
      <c r="I26" s="10">
        <f>IF(H26="",0,VLOOKUP(H26,Dropdown!$U$2:$V$6,2,FALSE))</f>
        <v>0</v>
      </c>
      <c r="J26" s="20"/>
      <c r="K26" s="10">
        <f>IF(J26="",0,VLOOKUP(J26,Dropdown!$U$2:$V$6,2,FALSE))</f>
        <v>0</v>
      </c>
      <c r="L26" s="20"/>
      <c r="M26" s="10">
        <f>IF(L26="",0,VLOOKUP(L26,Dropdown!$U$2:$V$6,2,FALSE))</f>
        <v>0</v>
      </c>
      <c r="N26" s="20"/>
      <c r="O26" s="10">
        <f>IF(N26="",0,VLOOKUP(N26,Dropdown!$U$2:$V$6,2,FALSE))</f>
        <v>0</v>
      </c>
      <c r="P26" s="20"/>
      <c r="Q26" s="10">
        <f>IF(P26="",0,VLOOKUP(P26,Dropdown!$U$2:$V$6,2,FALSE))</f>
        <v>0</v>
      </c>
    </row>
    <row r="27" spans="2:17" x14ac:dyDescent="0.3">
      <c r="B27" s="20"/>
      <c r="C27" s="10">
        <f>IF(B27="",0,VLOOKUP(B27,Dropdown!$U$2:$V$6,2,FALSE))</f>
        <v>0</v>
      </c>
      <c r="D27" s="20"/>
      <c r="E27" s="10">
        <f>IF(D27="",0,VLOOKUP(D27,Dropdown!$U$2:$V$6,2,FALSE))</f>
        <v>0</v>
      </c>
      <c r="F27" s="20"/>
      <c r="G27" s="10">
        <f>IF(F27="",0,VLOOKUP(F27,Dropdown!$U$2:$V$6,2,FALSE))</f>
        <v>0</v>
      </c>
      <c r="H27" s="20"/>
      <c r="I27" s="10">
        <f>IF(H27="",0,VLOOKUP(H27,Dropdown!$U$2:$V$6,2,FALSE))</f>
        <v>0</v>
      </c>
      <c r="J27" s="20"/>
      <c r="K27" s="10">
        <f>IF(J27="",0,VLOOKUP(J27,Dropdown!$U$2:$V$6,2,FALSE))</f>
        <v>0</v>
      </c>
      <c r="L27" s="20"/>
      <c r="M27" s="10">
        <f>IF(L27="",0,VLOOKUP(L27,Dropdown!$U$2:$V$6,2,FALSE))</f>
        <v>0</v>
      </c>
      <c r="N27" s="20"/>
      <c r="O27" s="10">
        <f>IF(N27="",0,VLOOKUP(N27,Dropdown!$U$2:$V$6,2,FALSE))</f>
        <v>0</v>
      </c>
      <c r="P27" s="20"/>
      <c r="Q27" s="10">
        <f>IF(P27="",0,VLOOKUP(P27,Dropdown!$U$2:$V$6,2,FALSE))</f>
        <v>0</v>
      </c>
    </row>
    <row r="28" spans="2:17" x14ac:dyDescent="0.3">
      <c r="B28" s="20"/>
      <c r="C28" s="10">
        <f>IF(B28="",0,VLOOKUP(B28,Dropdown!$U$2:$V$6,2,FALSE))</f>
        <v>0</v>
      </c>
      <c r="D28" s="20"/>
      <c r="E28" s="10">
        <f>IF(D28="",0,VLOOKUP(D28,Dropdown!$U$2:$V$6,2,FALSE))</f>
        <v>0</v>
      </c>
      <c r="F28" s="20"/>
      <c r="G28" s="10">
        <f>IF(F28="",0,VLOOKUP(F28,Dropdown!$U$2:$V$6,2,FALSE))</f>
        <v>0</v>
      </c>
      <c r="H28" s="20"/>
      <c r="I28" s="10">
        <f>IF(H28="",0,VLOOKUP(H28,Dropdown!$U$2:$V$6,2,FALSE))</f>
        <v>0</v>
      </c>
      <c r="J28" s="20"/>
      <c r="K28" s="10">
        <f>IF(J28="",0,VLOOKUP(J28,Dropdown!$U$2:$V$6,2,FALSE))</f>
        <v>0</v>
      </c>
      <c r="L28" s="20"/>
      <c r="M28" s="10">
        <f>IF(L28="",0,VLOOKUP(L28,Dropdown!$U$2:$V$6,2,FALSE))</f>
        <v>0</v>
      </c>
      <c r="N28" s="20"/>
      <c r="O28" s="10">
        <f>IF(N28="",0,VLOOKUP(N28,Dropdown!$U$2:$V$6,2,FALSE))</f>
        <v>0</v>
      </c>
      <c r="P28" s="20"/>
      <c r="Q28" s="10">
        <f>IF(P28="",0,VLOOKUP(P28,Dropdown!$U$2:$V$6,2,FALSE))</f>
        <v>0</v>
      </c>
    </row>
    <row r="29" spans="2:17" x14ac:dyDescent="0.3">
      <c r="B29" s="20"/>
      <c r="C29" s="10">
        <f>IF(B29="",0,VLOOKUP(B29,Dropdown!$U$2:$V$6,2,FALSE))</f>
        <v>0</v>
      </c>
      <c r="D29" s="20"/>
      <c r="E29" s="10">
        <f>IF(D29="",0,VLOOKUP(D29,Dropdown!$U$2:$V$6,2,FALSE))</f>
        <v>0</v>
      </c>
      <c r="F29" s="20"/>
      <c r="G29" s="10">
        <f>IF(F29="",0,VLOOKUP(F29,Dropdown!$U$2:$V$6,2,FALSE))</f>
        <v>0</v>
      </c>
      <c r="H29" s="20"/>
      <c r="I29" s="10">
        <f>IF(H29="",0,VLOOKUP(H29,Dropdown!$U$2:$V$6,2,FALSE))</f>
        <v>0</v>
      </c>
      <c r="J29" s="20"/>
      <c r="K29" s="10">
        <f>IF(J29="",0,VLOOKUP(J29,Dropdown!$U$2:$V$6,2,FALSE))</f>
        <v>0</v>
      </c>
      <c r="L29" s="20"/>
      <c r="M29" s="10">
        <f>IF(L29="",0,VLOOKUP(L29,Dropdown!$U$2:$V$6,2,FALSE))</f>
        <v>0</v>
      </c>
      <c r="N29" s="20"/>
      <c r="O29" s="10">
        <f>IF(N29="",0,VLOOKUP(N29,Dropdown!$U$2:$V$6,2,FALSE))</f>
        <v>0</v>
      </c>
      <c r="P29" s="20"/>
      <c r="Q29" s="10">
        <f>IF(P29="",0,VLOOKUP(P29,Dropdown!$U$2:$V$6,2,FALSE))</f>
        <v>0</v>
      </c>
    </row>
    <row r="30" spans="2:17" x14ac:dyDescent="0.3">
      <c r="B30" s="20"/>
      <c r="C30" s="10">
        <f>IF(B30="",0,VLOOKUP(B30,Dropdown!$U$2:$V$6,2,FALSE))</f>
        <v>0</v>
      </c>
      <c r="D30" s="20"/>
      <c r="E30" s="10">
        <f>IF(D30="",0,VLOOKUP(D30,Dropdown!$U$2:$V$6,2,FALSE))</f>
        <v>0</v>
      </c>
      <c r="F30" s="20"/>
      <c r="G30" s="10">
        <f>IF(F30="",0,VLOOKUP(F30,Dropdown!$U$2:$V$6,2,FALSE))</f>
        <v>0</v>
      </c>
      <c r="H30" s="20"/>
      <c r="I30" s="10">
        <f>IF(H30="",0,VLOOKUP(H30,Dropdown!$U$2:$V$6,2,FALSE))</f>
        <v>0</v>
      </c>
      <c r="J30" s="20"/>
      <c r="K30" s="10">
        <f>IF(J30="",0,VLOOKUP(J30,Dropdown!$U$2:$V$6,2,FALSE))</f>
        <v>0</v>
      </c>
      <c r="L30" s="20"/>
      <c r="M30" s="10">
        <f>IF(L30="",0,VLOOKUP(L30,Dropdown!$U$2:$V$6,2,FALSE))</f>
        <v>0</v>
      </c>
      <c r="N30" s="20"/>
      <c r="O30" s="10">
        <f>IF(N30="",0,VLOOKUP(N30,Dropdown!$U$2:$V$6,2,FALSE))</f>
        <v>0</v>
      </c>
      <c r="P30" s="20"/>
      <c r="Q30" s="10">
        <f>IF(P30="",0,VLOOKUP(P30,Dropdown!$U$2:$V$6,2,FALSE))</f>
        <v>0</v>
      </c>
    </row>
    <row r="31" spans="2:17" x14ac:dyDescent="0.3">
      <c r="B31" s="20"/>
      <c r="C31" s="10">
        <f>IF(B31="",0,VLOOKUP(B31,Dropdown!$U$2:$V$6,2,FALSE))</f>
        <v>0</v>
      </c>
      <c r="D31" s="20"/>
      <c r="E31" s="10">
        <f>IF(D31="",0,VLOOKUP(D31,Dropdown!$U$2:$V$6,2,FALSE))</f>
        <v>0</v>
      </c>
      <c r="F31" s="20"/>
      <c r="G31" s="10">
        <f>IF(F31="",0,VLOOKUP(F31,Dropdown!$U$2:$V$6,2,FALSE))</f>
        <v>0</v>
      </c>
      <c r="H31" s="20"/>
      <c r="I31" s="10">
        <f>IF(H31="",0,VLOOKUP(H31,Dropdown!$U$2:$V$6,2,FALSE))</f>
        <v>0</v>
      </c>
      <c r="J31" s="20"/>
      <c r="K31" s="10">
        <f>IF(J31="",0,VLOOKUP(J31,Dropdown!$U$2:$V$6,2,FALSE))</f>
        <v>0</v>
      </c>
      <c r="L31" s="20"/>
      <c r="M31" s="10">
        <f>IF(L31="",0,VLOOKUP(L31,Dropdown!$U$2:$V$6,2,FALSE))</f>
        <v>0</v>
      </c>
      <c r="N31" s="20"/>
      <c r="O31" s="10">
        <f>IF(N31="",0,VLOOKUP(N31,Dropdown!$U$2:$V$6,2,FALSE))</f>
        <v>0</v>
      </c>
      <c r="P31" s="20"/>
      <c r="Q31" s="10">
        <f>IF(P31="",0,VLOOKUP(P31,Dropdown!$U$2:$V$6,2,FALSE))</f>
        <v>0</v>
      </c>
    </row>
    <row r="32" spans="2:17" x14ac:dyDescent="0.3">
      <c r="B32" s="20"/>
      <c r="C32" s="10">
        <f>IF(B32="",0,VLOOKUP(B32,Dropdown!$U$2:$V$6,2,FALSE))</f>
        <v>0</v>
      </c>
      <c r="D32" s="20"/>
      <c r="E32" s="10">
        <f>IF(D32="",0,VLOOKUP(D32,Dropdown!$U$2:$V$6,2,FALSE))</f>
        <v>0</v>
      </c>
      <c r="F32" s="20"/>
      <c r="G32" s="10">
        <f>IF(F32="",0,VLOOKUP(F32,Dropdown!$U$2:$V$6,2,FALSE))</f>
        <v>0</v>
      </c>
      <c r="H32" s="20"/>
      <c r="I32" s="10">
        <f>IF(H32="",0,VLOOKUP(H32,Dropdown!$U$2:$V$6,2,FALSE))</f>
        <v>0</v>
      </c>
      <c r="J32" s="20"/>
      <c r="K32" s="10">
        <f>IF(J32="",0,VLOOKUP(J32,Dropdown!$U$2:$V$6,2,FALSE))</f>
        <v>0</v>
      </c>
      <c r="L32" s="20"/>
      <c r="M32" s="10">
        <f>IF(L32="",0,VLOOKUP(L32,Dropdown!$U$2:$V$6,2,FALSE))</f>
        <v>0</v>
      </c>
      <c r="N32" s="20"/>
      <c r="O32" s="10">
        <f>IF(N32="",0,VLOOKUP(N32,Dropdown!$U$2:$V$6,2,FALSE))</f>
        <v>0</v>
      </c>
      <c r="P32" s="20"/>
      <c r="Q32" s="10">
        <f>IF(P32="",0,VLOOKUP(P32,Dropdown!$U$2:$V$6,2,FALSE))</f>
        <v>0</v>
      </c>
    </row>
    <row r="33" spans="2:17" x14ac:dyDescent="0.3">
      <c r="B33" s="20"/>
      <c r="C33" s="10">
        <f>IF(B33="",0,VLOOKUP(B33,Dropdown!$U$2:$V$6,2,FALSE))</f>
        <v>0</v>
      </c>
      <c r="D33" s="20"/>
      <c r="E33" s="10">
        <f>IF(D33="",0,VLOOKUP(D33,Dropdown!$U$2:$V$6,2,FALSE))</f>
        <v>0</v>
      </c>
      <c r="F33" s="20"/>
      <c r="G33" s="10">
        <f>IF(F33="",0,VLOOKUP(F33,Dropdown!$U$2:$V$6,2,FALSE))</f>
        <v>0</v>
      </c>
      <c r="H33" s="20"/>
      <c r="I33" s="10">
        <f>IF(H33="",0,VLOOKUP(H33,Dropdown!$U$2:$V$6,2,FALSE))</f>
        <v>0</v>
      </c>
      <c r="J33" s="20"/>
      <c r="K33" s="10">
        <f>IF(J33="",0,VLOOKUP(J33,Dropdown!$U$2:$V$6,2,FALSE))</f>
        <v>0</v>
      </c>
      <c r="L33" s="20"/>
      <c r="M33" s="10">
        <f>IF(L33="",0,VLOOKUP(L33,Dropdown!$U$2:$V$6,2,FALSE))</f>
        <v>0</v>
      </c>
      <c r="N33" s="20"/>
      <c r="O33" s="10">
        <f>IF(N33="",0,VLOOKUP(N33,Dropdown!$U$2:$V$6,2,FALSE))</f>
        <v>0</v>
      </c>
      <c r="P33" s="20"/>
      <c r="Q33" s="10">
        <f>IF(P33="",0,VLOOKUP(P33,Dropdown!$U$2:$V$6,2,FALSE))</f>
        <v>0</v>
      </c>
    </row>
    <row r="34" spans="2:17" x14ac:dyDescent="0.3">
      <c r="B34" s="20"/>
      <c r="C34" s="10">
        <f>IF(B34="",0,VLOOKUP(B34,Dropdown!$U$2:$V$6,2,FALSE))</f>
        <v>0</v>
      </c>
      <c r="D34" s="20"/>
      <c r="E34" s="10">
        <f>IF(D34="",0,VLOOKUP(D34,Dropdown!$U$2:$V$6,2,FALSE))</f>
        <v>0</v>
      </c>
      <c r="F34" s="20"/>
      <c r="G34" s="10">
        <f>IF(F34="",0,VLOOKUP(F34,Dropdown!$U$2:$V$6,2,FALSE))</f>
        <v>0</v>
      </c>
      <c r="H34" s="20"/>
      <c r="I34" s="10">
        <f>IF(H34="",0,VLOOKUP(H34,Dropdown!$U$2:$V$6,2,FALSE))</f>
        <v>0</v>
      </c>
      <c r="J34" s="20"/>
      <c r="K34" s="10">
        <f>IF(J34="",0,VLOOKUP(J34,Dropdown!$U$2:$V$6,2,FALSE))</f>
        <v>0</v>
      </c>
      <c r="L34" s="20"/>
      <c r="M34" s="10">
        <f>IF(L34="",0,VLOOKUP(L34,Dropdown!$U$2:$V$6,2,FALSE))</f>
        <v>0</v>
      </c>
      <c r="N34" s="20"/>
      <c r="O34" s="10">
        <f>IF(N34="",0,VLOOKUP(N34,Dropdown!$U$2:$V$6,2,FALSE))</f>
        <v>0</v>
      </c>
      <c r="P34" s="20"/>
      <c r="Q34" s="10">
        <f>IF(P34="",0,VLOOKUP(P34,Dropdown!$U$2:$V$6,2,FALSE))</f>
        <v>0</v>
      </c>
    </row>
    <row r="35" spans="2:17" x14ac:dyDescent="0.3">
      <c r="B35" s="20"/>
      <c r="C35" s="10">
        <f>IF(B35="",0,VLOOKUP(B35,Dropdown!$U$2:$V$6,2,FALSE))</f>
        <v>0</v>
      </c>
      <c r="D35" s="20"/>
      <c r="E35" s="10">
        <f>IF(D35="",0,VLOOKUP(D35,Dropdown!$U$2:$V$6,2,FALSE))</f>
        <v>0</v>
      </c>
      <c r="F35" s="20"/>
      <c r="G35" s="10">
        <f>IF(F35="",0,VLOOKUP(F35,Dropdown!$U$2:$V$6,2,FALSE))</f>
        <v>0</v>
      </c>
      <c r="H35" s="20"/>
      <c r="I35" s="10">
        <f>IF(H35="",0,VLOOKUP(H35,Dropdown!$U$2:$V$6,2,FALSE))</f>
        <v>0</v>
      </c>
      <c r="J35" s="20"/>
      <c r="K35" s="10">
        <f>IF(J35="",0,VLOOKUP(J35,Dropdown!$U$2:$V$6,2,FALSE))</f>
        <v>0</v>
      </c>
      <c r="L35" s="20"/>
      <c r="M35" s="10">
        <f>IF(L35="",0,VLOOKUP(L35,Dropdown!$U$2:$V$6,2,FALSE))</f>
        <v>0</v>
      </c>
      <c r="N35" s="20"/>
      <c r="O35" s="10">
        <f>IF(N35="",0,VLOOKUP(N35,Dropdown!$U$2:$V$6,2,FALSE))</f>
        <v>0</v>
      </c>
      <c r="P35" s="20"/>
      <c r="Q35" s="10">
        <f>IF(P35="",0,VLOOKUP(P35,Dropdown!$U$2:$V$6,2,FALSE))</f>
        <v>0</v>
      </c>
    </row>
    <row r="36" spans="2:17" x14ac:dyDescent="0.3">
      <c r="B36" s="20"/>
      <c r="C36" s="10">
        <f>IF(B36="",0,VLOOKUP(B36,Dropdown!$U$2:$V$6,2,FALSE))</f>
        <v>0</v>
      </c>
      <c r="D36" s="20"/>
      <c r="E36" s="10">
        <f>IF(D36="",0,VLOOKUP(D36,Dropdown!$U$2:$V$6,2,FALSE))</f>
        <v>0</v>
      </c>
      <c r="F36" s="20"/>
      <c r="G36" s="10">
        <f>IF(F36="",0,VLOOKUP(F36,Dropdown!$U$2:$V$6,2,FALSE))</f>
        <v>0</v>
      </c>
      <c r="H36" s="20"/>
      <c r="I36" s="10">
        <f>IF(H36="",0,VLOOKUP(H36,Dropdown!$U$2:$V$6,2,FALSE))</f>
        <v>0</v>
      </c>
      <c r="J36" s="20"/>
      <c r="K36" s="10">
        <f>IF(J36="",0,VLOOKUP(J36,Dropdown!$U$2:$V$6,2,FALSE))</f>
        <v>0</v>
      </c>
      <c r="L36" s="20"/>
      <c r="M36" s="10">
        <f>IF(L36="",0,VLOOKUP(L36,Dropdown!$U$2:$V$6,2,FALSE))</f>
        <v>0</v>
      </c>
      <c r="N36" s="20"/>
      <c r="O36" s="10">
        <f>IF(N36="",0,VLOOKUP(N36,Dropdown!$U$2:$V$6,2,FALSE))</f>
        <v>0</v>
      </c>
      <c r="P36" s="20"/>
      <c r="Q36" s="10">
        <f>IF(P36="",0,VLOOKUP(P36,Dropdown!$U$2:$V$6,2,FALSE))</f>
        <v>0</v>
      </c>
    </row>
    <row r="37" spans="2:17" x14ac:dyDescent="0.3">
      <c r="B37" s="20"/>
      <c r="C37" s="10">
        <f>IF(B37="",0,VLOOKUP(B37,Dropdown!$U$2:$V$6,2,FALSE))</f>
        <v>0</v>
      </c>
      <c r="D37" s="20"/>
      <c r="E37" s="10">
        <f>IF(D37="",0,VLOOKUP(D37,Dropdown!$U$2:$V$6,2,FALSE))</f>
        <v>0</v>
      </c>
      <c r="F37" s="20"/>
      <c r="G37" s="10">
        <f>IF(F37="",0,VLOOKUP(F37,Dropdown!$U$2:$V$6,2,FALSE))</f>
        <v>0</v>
      </c>
      <c r="H37" s="20"/>
      <c r="I37" s="10">
        <f>IF(H37="",0,VLOOKUP(H37,Dropdown!$U$2:$V$6,2,FALSE))</f>
        <v>0</v>
      </c>
      <c r="J37" s="20"/>
      <c r="K37" s="10">
        <f>IF(J37="",0,VLOOKUP(J37,Dropdown!$U$2:$V$6,2,FALSE))</f>
        <v>0</v>
      </c>
      <c r="L37" s="20"/>
      <c r="M37" s="10">
        <f>IF(L37="",0,VLOOKUP(L37,Dropdown!$U$2:$V$6,2,FALSE))</f>
        <v>0</v>
      </c>
      <c r="N37" s="20"/>
      <c r="O37" s="10">
        <f>IF(N37="",0,VLOOKUP(N37,Dropdown!$U$2:$V$6,2,FALSE))</f>
        <v>0</v>
      </c>
      <c r="P37" s="20"/>
      <c r="Q37" s="10">
        <f>IF(P37="",0,VLOOKUP(P37,Dropdown!$U$2:$V$6,2,FALSE))</f>
        <v>0</v>
      </c>
    </row>
    <row r="38" spans="2:17" x14ac:dyDescent="0.3">
      <c r="C38" s="10">
        <f>IF(B38="",0,VLOOKUP(B38,Dropdown!$U$2:$V$6,2,FALSE))</f>
        <v>0</v>
      </c>
      <c r="E38" s="10">
        <f>IF(D38="",0,VLOOKUP(D38,Dropdown!$U$2:$V$6,2,FALSE))</f>
        <v>0</v>
      </c>
      <c r="G38" s="10">
        <f>IF(F38="",0,VLOOKUP(F38,Dropdown!$U$2:$V$6,2,FALSE))</f>
        <v>0</v>
      </c>
      <c r="I38" s="10">
        <f>IF(H38="",0,VLOOKUP(H38,Dropdown!$U$2:$V$6,2,FALSE))</f>
        <v>0</v>
      </c>
      <c r="K38" s="10">
        <f>IF(J38="",0,VLOOKUP(J38,Dropdown!$U$2:$V$6,2,FALSE))</f>
        <v>0</v>
      </c>
      <c r="M38" s="10">
        <f>IF(L38="",0,VLOOKUP(L38,Dropdown!$U$2:$V$6,2,FALSE))</f>
        <v>0</v>
      </c>
      <c r="O38" s="10">
        <f>IF(N38="",0,VLOOKUP(N38,Dropdown!$U$2:$V$6,2,FALSE))</f>
        <v>0</v>
      </c>
      <c r="Q38" s="10">
        <f>IF(P38="",0,VLOOKUP(P38,Dropdown!$U$2:$V$6,2,FALSE))</f>
        <v>0</v>
      </c>
    </row>
    <row r="39" spans="2:17" x14ac:dyDescent="0.3">
      <c r="B39" s="20"/>
      <c r="C39" s="10">
        <f>IF(B39="",0,VLOOKUP(B39,Dropdown!$U$2:$V$6,2,FALSE))</f>
        <v>0</v>
      </c>
      <c r="D39" s="20"/>
      <c r="E39" s="10">
        <f>IF(D39="",0,VLOOKUP(D39,Dropdown!$U$2:$V$6,2,FALSE))</f>
        <v>0</v>
      </c>
      <c r="F39" s="20"/>
      <c r="G39" s="10">
        <f>IF(F39="",0,VLOOKUP(F39,Dropdown!$U$2:$V$6,2,FALSE))</f>
        <v>0</v>
      </c>
      <c r="H39" s="20"/>
      <c r="I39" s="10">
        <f>IF(H39="",0,VLOOKUP(H39,Dropdown!$U$2:$V$6,2,FALSE))</f>
        <v>0</v>
      </c>
      <c r="J39" s="20"/>
      <c r="K39" s="10">
        <f>IF(J39="",0,VLOOKUP(J39,Dropdown!$U$2:$V$6,2,FALSE))</f>
        <v>0</v>
      </c>
      <c r="L39" s="20"/>
      <c r="M39" s="10">
        <f>IF(L39="",0,VLOOKUP(L39,Dropdown!$U$2:$V$6,2,FALSE))</f>
        <v>0</v>
      </c>
      <c r="N39" s="20"/>
      <c r="O39" s="10">
        <f>IF(N39="",0,VLOOKUP(N39,Dropdown!$U$2:$V$6,2,FALSE))</f>
        <v>0</v>
      </c>
      <c r="P39" s="20"/>
      <c r="Q39" s="10">
        <f>IF(P39="",0,VLOOKUP(P39,Dropdown!$U$2:$V$6,2,FALSE))</f>
        <v>0</v>
      </c>
    </row>
    <row r="40" spans="2:17" x14ac:dyDescent="0.3">
      <c r="B40" s="20"/>
      <c r="C40" s="10">
        <f>IF(B40="",0,VLOOKUP(B40,Dropdown!$U$2:$V$6,2,FALSE))</f>
        <v>0</v>
      </c>
      <c r="D40" s="20"/>
      <c r="E40" s="10">
        <f>IF(D40="",0,VLOOKUP(D40,Dropdown!$U$2:$V$6,2,FALSE))</f>
        <v>0</v>
      </c>
      <c r="F40" s="20"/>
      <c r="G40" s="10">
        <f>IF(F40="",0,VLOOKUP(F40,Dropdown!$U$2:$V$6,2,FALSE))</f>
        <v>0</v>
      </c>
      <c r="H40" s="20"/>
      <c r="I40" s="10">
        <f>IF(H40="",0,VLOOKUP(H40,Dropdown!$U$2:$V$6,2,FALSE))</f>
        <v>0</v>
      </c>
      <c r="J40" s="20"/>
      <c r="K40" s="10">
        <f>IF(J40="",0,VLOOKUP(J40,Dropdown!$U$2:$V$6,2,FALSE))</f>
        <v>0</v>
      </c>
      <c r="L40" s="20"/>
      <c r="M40" s="10">
        <f>IF(L40="",0,VLOOKUP(L40,Dropdown!$U$2:$V$6,2,FALSE))</f>
        <v>0</v>
      </c>
      <c r="N40" s="20"/>
      <c r="O40" s="10">
        <f>IF(N40="",0,VLOOKUP(N40,Dropdown!$U$2:$V$6,2,FALSE))</f>
        <v>0</v>
      </c>
      <c r="P40" s="20"/>
      <c r="Q40" s="10">
        <f>IF(P40="",0,VLOOKUP(P40,Dropdown!$U$2:$V$6,2,FALSE))</f>
        <v>0</v>
      </c>
    </row>
    <row r="41" spans="2:17" x14ac:dyDescent="0.3">
      <c r="B41" s="20"/>
      <c r="C41" s="10">
        <f>IF(B41="",0,VLOOKUP(B41,Dropdown!$U$2:$V$6,2,FALSE))</f>
        <v>0</v>
      </c>
      <c r="D41" s="20"/>
      <c r="E41" s="10">
        <f>IF(D41="",0,VLOOKUP(D41,Dropdown!$U$2:$V$6,2,FALSE))</f>
        <v>0</v>
      </c>
      <c r="F41" s="20"/>
      <c r="G41" s="10">
        <f>IF(F41="",0,VLOOKUP(F41,Dropdown!$U$2:$V$6,2,FALSE))</f>
        <v>0</v>
      </c>
      <c r="H41" s="20"/>
      <c r="I41" s="10">
        <f>IF(H41="",0,VLOOKUP(H41,Dropdown!$U$2:$V$6,2,FALSE))</f>
        <v>0</v>
      </c>
      <c r="J41" s="20"/>
      <c r="K41" s="10">
        <f>IF(J41="",0,VLOOKUP(J41,Dropdown!$U$2:$V$6,2,FALSE))</f>
        <v>0</v>
      </c>
      <c r="L41" s="20"/>
      <c r="M41" s="10">
        <f>IF(L41="",0,VLOOKUP(L41,Dropdown!$U$2:$V$6,2,FALSE))</f>
        <v>0</v>
      </c>
      <c r="N41" s="20"/>
      <c r="O41" s="10">
        <f>IF(N41="",0,VLOOKUP(N41,Dropdown!$U$2:$V$6,2,FALSE))</f>
        <v>0</v>
      </c>
      <c r="P41" s="20"/>
      <c r="Q41" s="10">
        <f>IF(P41="",0,VLOOKUP(P41,Dropdown!$U$2:$V$6,2,FALSE))</f>
        <v>0</v>
      </c>
    </row>
    <row r="42" spans="2:17" x14ac:dyDescent="0.3">
      <c r="B42" s="20"/>
      <c r="C42" s="10">
        <f>IF(B42="",0,VLOOKUP(B42,Dropdown!$U$2:$V$6,2,FALSE))</f>
        <v>0</v>
      </c>
      <c r="D42" s="20"/>
      <c r="E42" s="10">
        <f>IF(D42="",0,VLOOKUP(D42,Dropdown!$U$2:$V$6,2,FALSE))</f>
        <v>0</v>
      </c>
      <c r="F42" s="20"/>
      <c r="G42" s="10">
        <f>IF(F42="",0,VLOOKUP(F42,Dropdown!$U$2:$V$6,2,FALSE))</f>
        <v>0</v>
      </c>
      <c r="H42" s="20"/>
      <c r="I42" s="10">
        <f>IF(H42="",0,VLOOKUP(H42,Dropdown!$U$2:$V$6,2,FALSE))</f>
        <v>0</v>
      </c>
      <c r="J42" s="20"/>
      <c r="K42" s="10">
        <f>IF(J42="",0,VLOOKUP(J42,Dropdown!$U$2:$V$6,2,FALSE))</f>
        <v>0</v>
      </c>
      <c r="L42" s="20"/>
      <c r="M42" s="10">
        <f>IF(L42="",0,VLOOKUP(L42,Dropdown!$U$2:$V$6,2,FALSE))</f>
        <v>0</v>
      </c>
      <c r="N42" s="20"/>
      <c r="O42" s="10">
        <f>IF(N42="",0,VLOOKUP(N42,Dropdown!$U$2:$V$6,2,FALSE))</f>
        <v>0</v>
      </c>
      <c r="P42" s="20"/>
      <c r="Q42" s="10">
        <f>IF(P42="",0,VLOOKUP(P42,Dropdown!$U$2:$V$6,2,FALSE))</f>
        <v>0</v>
      </c>
    </row>
    <row r="43" spans="2:17" x14ac:dyDescent="0.3">
      <c r="B43" s="20"/>
      <c r="C43" s="10">
        <f>IF(B43="",0,VLOOKUP(B43,Dropdown!$U$2:$V$6,2,FALSE))</f>
        <v>0</v>
      </c>
      <c r="D43" s="20"/>
      <c r="E43" s="10">
        <f>IF(D43="",0,VLOOKUP(D43,Dropdown!$U$2:$V$6,2,FALSE))</f>
        <v>0</v>
      </c>
      <c r="F43" s="20"/>
      <c r="G43" s="10">
        <f>IF(F43="",0,VLOOKUP(F43,Dropdown!$U$2:$V$6,2,FALSE))</f>
        <v>0</v>
      </c>
      <c r="H43" s="20"/>
      <c r="I43" s="10">
        <f>IF(H43="",0,VLOOKUP(H43,Dropdown!$U$2:$V$6,2,FALSE))</f>
        <v>0</v>
      </c>
      <c r="J43" s="20"/>
      <c r="K43" s="10">
        <f>IF(J43="",0,VLOOKUP(J43,Dropdown!$U$2:$V$6,2,FALSE))</f>
        <v>0</v>
      </c>
      <c r="L43" s="20"/>
      <c r="M43" s="10">
        <f>IF(L43="",0,VLOOKUP(L43,Dropdown!$U$2:$V$6,2,FALSE))</f>
        <v>0</v>
      </c>
      <c r="N43" s="20"/>
      <c r="O43" s="10">
        <f>IF(N43="",0,VLOOKUP(N43,Dropdown!$U$2:$V$6,2,FALSE))</f>
        <v>0</v>
      </c>
      <c r="P43" s="20"/>
      <c r="Q43" s="10">
        <f>IF(P43="",0,VLOOKUP(P43,Dropdown!$U$2:$V$6,2,FALSE))</f>
        <v>0</v>
      </c>
    </row>
    <row r="44" spans="2:17" x14ac:dyDescent="0.3">
      <c r="B44" s="20"/>
      <c r="C44" s="10">
        <f>IF(B44="",0,VLOOKUP(B44,Dropdown!$U$2:$V$6,2,FALSE))</f>
        <v>0</v>
      </c>
      <c r="D44" s="20"/>
      <c r="E44" s="10">
        <f>IF(D44="",0,VLOOKUP(D44,Dropdown!$U$2:$V$6,2,FALSE))</f>
        <v>0</v>
      </c>
      <c r="F44" s="20"/>
      <c r="G44" s="10">
        <f>IF(F44="",0,VLOOKUP(F44,Dropdown!$U$2:$V$6,2,FALSE))</f>
        <v>0</v>
      </c>
      <c r="H44" s="20"/>
      <c r="I44" s="10">
        <f>IF(H44="",0,VLOOKUP(H44,Dropdown!$U$2:$V$6,2,FALSE))</f>
        <v>0</v>
      </c>
      <c r="J44" s="20"/>
      <c r="K44" s="10">
        <f>IF(J44="",0,VLOOKUP(J44,Dropdown!$U$2:$V$6,2,FALSE))</f>
        <v>0</v>
      </c>
      <c r="L44" s="20"/>
      <c r="M44" s="10">
        <f>IF(L44="",0,VLOOKUP(L44,Dropdown!$U$2:$V$6,2,FALSE))</f>
        <v>0</v>
      </c>
      <c r="N44" s="20"/>
      <c r="O44" s="10">
        <f>IF(N44="",0,VLOOKUP(N44,Dropdown!$U$2:$V$6,2,FALSE))</f>
        <v>0</v>
      </c>
      <c r="P44" s="20"/>
      <c r="Q44" s="10">
        <f>IF(P44="",0,VLOOKUP(P44,Dropdown!$U$2:$V$6,2,FALSE))</f>
        <v>0</v>
      </c>
    </row>
    <row r="45" spans="2:17" x14ac:dyDescent="0.3">
      <c r="B45" s="20"/>
      <c r="C45" s="10">
        <f>IF(B45="",0,VLOOKUP(B45,Dropdown!$U$2:$V$6,2,FALSE))</f>
        <v>0</v>
      </c>
      <c r="D45" s="20"/>
      <c r="E45" s="10">
        <f>IF(D45="",0,VLOOKUP(D45,Dropdown!$U$2:$V$6,2,FALSE))</f>
        <v>0</v>
      </c>
      <c r="F45" s="20"/>
      <c r="G45" s="10">
        <f>IF(F45="",0,VLOOKUP(F45,Dropdown!$U$2:$V$6,2,FALSE))</f>
        <v>0</v>
      </c>
      <c r="H45" s="20"/>
      <c r="I45" s="10">
        <f>IF(H45="",0,VLOOKUP(H45,Dropdown!$U$2:$V$6,2,FALSE))</f>
        <v>0</v>
      </c>
      <c r="J45" s="20"/>
      <c r="K45" s="10">
        <f>IF(J45="",0,VLOOKUP(J45,Dropdown!$U$2:$V$6,2,FALSE))</f>
        <v>0</v>
      </c>
      <c r="L45" s="20"/>
      <c r="M45" s="10">
        <f>IF(L45="",0,VLOOKUP(L45,Dropdown!$U$2:$V$6,2,FALSE))</f>
        <v>0</v>
      </c>
      <c r="N45" s="20"/>
      <c r="O45" s="10">
        <f>IF(N45="",0,VLOOKUP(N45,Dropdown!$U$2:$V$6,2,FALSE))</f>
        <v>0</v>
      </c>
      <c r="P45" s="20"/>
      <c r="Q45" s="10">
        <f>IF(P45="",0,VLOOKUP(P45,Dropdown!$U$2:$V$6,2,FALSE))</f>
        <v>0</v>
      </c>
    </row>
    <row r="46" spans="2:17" x14ac:dyDescent="0.3">
      <c r="B46" s="20"/>
      <c r="C46" s="10">
        <f>IF(B46="",0,VLOOKUP(B46,Dropdown!$U$2:$V$6,2,FALSE))</f>
        <v>0</v>
      </c>
      <c r="D46" s="20"/>
      <c r="E46" s="10">
        <f>IF(D46="",0,VLOOKUP(D46,Dropdown!$U$2:$V$6,2,FALSE))</f>
        <v>0</v>
      </c>
      <c r="F46" s="20"/>
      <c r="G46" s="10">
        <f>IF(F46="",0,VLOOKUP(F46,Dropdown!$U$2:$V$6,2,FALSE))</f>
        <v>0</v>
      </c>
      <c r="H46" s="20"/>
      <c r="I46" s="10">
        <f>IF(H46="",0,VLOOKUP(H46,Dropdown!$U$2:$V$6,2,FALSE))</f>
        <v>0</v>
      </c>
      <c r="J46" s="20"/>
      <c r="K46" s="10">
        <f>IF(J46="",0,VLOOKUP(J46,Dropdown!$U$2:$V$6,2,FALSE))</f>
        <v>0</v>
      </c>
      <c r="L46" s="20"/>
      <c r="M46" s="10">
        <f>IF(L46="",0,VLOOKUP(L46,Dropdown!$U$2:$V$6,2,FALSE))</f>
        <v>0</v>
      </c>
      <c r="N46" s="20"/>
      <c r="O46" s="10">
        <f>IF(N46="",0,VLOOKUP(N46,Dropdown!$U$2:$V$6,2,FALSE))</f>
        <v>0</v>
      </c>
      <c r="P46" s="20"/>
      <c r="Q46" s="10">
        <f>IF(P46="",0,VLOOKUP(P46,Dropdown!$U$2:$V$6,2,FALSE))</f>
        <v>0</v>
      </c>
    </row>
    <row r="47" spans="2:17" x14ac:dyDescent="0.3">
      <c r="B47" s="20"/>
      <c r="C47" s="10">
        <f>IF(B47="",0,VLOOKUP(B47,Dropdown!$U$2:$V$6,2,FALSE))</f>
        <v>0</v>
      </c>
      <c r="D47" s="20"/>
      <c r="E47" s="10">
        <f>IF(D47="",0,VLOOKUP(D47,Dropdown!$U$2:$V$6,2,FALSE))</f>
        <v>0</v>
      </c>
      <c r="F47" s="20"/>
      <c r="G47" s="10">
        <f>IF(F47="",0,VLOOKUP(F47,Dropdown!$U$2:$V$6,2,FALSE))</f>
        <v>0</v>
      </c>
      <c r="H47" s="20"/>
      <c r="I47" s="10">
        <f>IF(H47="",0,VLOOKUP(H47,Dropdown!$U$2:$V$6,2,FALSE))</f>
        <v>0</v>
      </c>
      <c r="J47" s="20"/>
      <c r="K47" s="10">
        <f>IF(J47="",0,VLOOKUP(J47,Dropdown!$U$2:$V$6,2,FALSE))</f>
        <v>0</v>
      </c>
      <c r="L47" s="20"/>
      <c r="M47" s="10">
        <f>IF(L47="",0,VLOOKUP(L47,Dropdown!$U$2:$V$6,2,FALSE))</f>
        <v>0</v>
      </c>
      <c r="N47" s="20"/>
      <c r="O47" s="10">
        <f>IF(N47="",0,VLOOKUP(N47,Dropdown!$U$2:$V$6,2,FALSE))</f>
        <v>0</v>
      </c>
      <c r="P47" s="20"/>
      <c r="Q47" s="10">
        <f>IF(P47="",0,VLOOKUP(P47,Dropdown!$U$2:$V$6,2,FALSE))</f>
        <v>0</v>
      </c>
    </row>
    <row r="48" spans="2:17" x14ac:dyDescent="0.3">
      <c r="B48" s="20"/>
      <c r="C48" s="10">
        <f>IF(B48="",0,VLOOKUP(B48,Dropdown!$U$2:$V$6,2,FALSE))</f>
        <v>0</v>
      </c>
      <c r="D48" s="20"/>
      <c r="E48" s="10">
        <f>IF(D48="",0,VLOOKUP(D48,Dropdown!$U$2:$V$6,2,FALSE))</f>
        <v>0</v>
      </c>
      <c r="F48" s="20"/>
      <c r="G48" s="10">
        <f>IF(F48="",0,VLOOKUP(F48,Dropdown!$U$2:$V$6,2,FALSE))</f>
        <v>0</v>
      </c>
      <c r="H48" s="20"/>
      <c r="I48" s="10">
        <f>IF(H48="",0,VLOOKUP(H48,Dropdown!$U$2:$V$6,2,FALSE))</f>
        <v>0</v>
      </c>
      <c r="J48" s="20"/>
      <c r="K48" s="10">
        <f>IF(J48="",0,VLOOKUP(J48,Dropdown!$U$2:$V$6,2,FALSE))</f>
        <v>0</v>
      </c>
      <c r="L48" s="20"/>
      <c r="M48" s="10">
        <f>IF(L48="",0,VLOOKUP(L48,Dropdown!$U$2:$V$6,2,FALSE))</f>
        <v>0</v>
      </c>
      <c r="N48" s="20"/>
      <c r="O48" s="10">
        <f>IF(N48="",0,VLOOKUP(N48,Dropdown!$U$2:$V$6,2,FALSE))</f>
        <v>0</v>
      </c>
      <c r="P48" s="20"/>
      <c r="Q48" s="10">
        <f>IF(P48="",0,VLOOKUP(P48,Dropdown!$U$2:$V$6,2,FALSE))</f>
        <v>0</v>
      </c>
    </row>
    <row r="49" spans="2:17" x14ac:dyDescent="0.3">
      <c r="B49" s="20"/>
      <c r="C49" s="10">
        <f>IF(B49="",0,VLOOKUP(B49,Dropdown!$U$2:$V$6,2,FALSE))</f>
        <v>0</v>
      </c>
      <c r="D49" s="20"/>
      <c r="E49" s="10">
        <f>IF(D49="",0,VLOOKUP(D49,Dropdown!$U$2:$V$6,2,FALSE))</f>
        <v>0</v>
      </c>
      <c r="F49" s="20"/>
      <c r="G49" s="10">
        <f>IF(F49="",0,VLOOKUP(F49,Dropdown!$U$2:$V$6,2,FALSE))</f>
        <v>0</v>
      </c>
      <c r="H49" s="20"/>
      <c r="I49" s="10">
        <f>IF(H49="",0,VLOOKUP(H49,Dropdown!$U$2:$V$6,2,FALSE))</f>
        <v>0</v>
      </c>
      <c r="J49" s="20"/>
      <c r="K49" s="10">
        <f>IF(J49="",0,VLOOKUP(J49,Dropdown!$U$2:$V$6,2,FALSE))</f>
        <v>0</v>
      </c>
      <c r="L49" s="20"/>
      <c r="M49" s="10">
        <f>IF(L49="",0,VLOOKUP(L49,Dropdown!$U$2:$V$6,2,FALSE))</f>
        <v>0</v>
      </c>
      <c r="N49" s="20"/>
      <c r="O49" s="10">
        <f>IF(N49="",0,VLOOKUP(N49,Dropdown!$U$2:$V$6,2,FALSE))</f>
        <v>0</v>
      </c>
      <c r="P49" s="20"/>
      <c r="Q49" s="10">
        <f>IF(P49="",0,VLOOKUP(P49,Dropdown!$U$2:$V$6,2,FALSE))</f>
        <v>0</v>
      </c>
    </row>
    <row r="50" spans="2:17" x14ac:dyDescent="0.3">
      <c r="B50" s="20"/>
      <c r="C50" s="10">
        <f>IF(B50="",0,VLOOKUP(B50,Dropdown!$U$2:$V$6,2,FALSE))</f>
        <v>0</v>
      </c>
      <c r="D50" s="20"/>
      <c r="E50" s="10">
        <f>IF(D50="",0,VLOOKUP(D50,Dropdown!$U$2:$V$6,2,FALSE))</f>
        <v>0</v>
      </c>
      <c r="F50" s="20"/>
      <c r="G50" s="10">
        <f>IF(F50="",0,VLOOKUP(F50,Dropdown!$U$2:$V$6,2,FALSE))</f>
        <v>0</v>
      </c>
      <c r="H50" s="20"/>
      <c r="I50" s="10">
        <f>IF(H50="",0,VLOOKUP(H50,Dropdown!$U$2:$V$6,2,FALSE))</f>
        <v>0</v>
      </c>
      <c r="J50" s="20"/>
      <c r="K50" s="10">
        <f>IF(J50="",0,VLOOKUP(J50,Dropdown!$U$2:$V$6,2,FALSE))</f>
        <v>0</v>
      </c>
      <c r="L50" s="20"/>
      <c r="M50" s="10">
        <f>IF(L50="",0,VLOOKUP(L50,Dropdown!$U$2:$V$6,2,FALSE))</f>
        <v>0</v>
      </c>
      <c r="N50" s="20"/>
      <c r="O50" s="10">
        <f>IF(N50="",0,VLOOKUP(N50,Dropdown!$U$2:$V$6,2,FALSE))</f>
        <v>0</v>
      </c>
      <c r="P50" s="20"/>
      <c r="Q50" s="10">
        <f>IF(P50="",0,VLOOKUP(P50,Dropdown!$U$2:$V$6,2,FALSE))</f>
        <v>0</v>
      </c>
    </row>
    <row r="51" spans="2:17" x14ac:dyDescent="0.3">
      <c r="B51" s="20"/>
      <c r="C51" s="10">
        <f>IF(B51="",0,VLOOKUP(B51,Dropdown!$U$2:$V$6,2,FALSE))</f>
        <v>0</v>
      </c>
      <c r="D51" s="20"/>
      <c r="E51" s="10">
        <f>IF(D51="",0,VLOOKUP(D51,Dropdown!$U$2:$V$6,2,FALSE))</f>
        <v>0</v>
      </c>
      <c r="F51" s="20"/>
      <c r="G51" s="10">
        <f>IF(F51="",0,VLOOKUP(F51,Dropdown!$U$2:$V$6,2,FALSE))</f>
        <v>0</v>
      </c>
      <c r="H51" s="20"/>
      <c r="I51" s="10">
        <f>IF(H51="",0,VLOOKUP(H51,Dropdown!$U$2:$V$6,2,FALSE))</f>
        <v>0</v>
      </c>
      <c r="J51" s="20"/>
      <c r="K51" s="10">
        <f>IF(J51="",0,VLOOKUP(J51,Dropdown!$U$2:$V$6,2,FALSE))</f>
        <v>0</v>
      </c>
      <c r="L51" s="20"/>
      <c r="M51" s="10">
        <f>IF(L51="",0,VLOOKUP(L51,Dropdown!$U$2:$V$6,2,FALSE))</f>
        <v>0</v>
      </c>
      <c r="N51" s="20"/>
      <c r="O51" s="10">
        <f>IF(N51="",0,VLOOKUP(N51,Dropdown!$U$2:$V$6,2,FALSE))</f>
        <v>0</v>
      </c>
      <c r="P51" s="20"/>
      <c r="Q51" s="10">
        <f>IF(P51="",0,VLOOKUP(P51,Dropdown!$U$2:$V$6,2,FALSE))</f>
        <v>0</v>
      </c>
    </row>
    <row r="52" spans="2:17" x14ac:dyDescent="0.3">
      <c r="B52" s="20"/>
      <c r="C52" s="10">
        <f>IF(B52="",0,VLOOKUP(B52,Dropdown!$U$2:$V$6,2,FALSE))</f>
        <v>0</v>
      </c>
      <c r="D52" s="20"/>
      <c r="E52" s="10">
        <f>IF(D52="",0,VLOOKUP(D52,Dropdown!$U$2:$V$6,2,FALSE))</f>
        <v>0</v>
      </c>
      <c r="F52" s="20"/>
      <c r="G52" s="10">
        <f>IF(F52="",0,VLOOKUP(F52,Dropdown!$U$2:$V$6,2,FALSE))</f>
        <v>0</v>
      </c>
      <c r="H52" s="20"/>
      <c r="I52" s="10">
        <f>IF(H52="",0,VLOOKUP(H52,Dropdown!$U$2:$V$6,2,FALSE))</f>
        <v>0</v>
      </c>
      <c r="J52" s="20"/>
      <c r="K52" s="10">
        <f>IF(J52="",0,VLOOKUP(J52,Dropdown!$U$2:$V$6,2,FALSE))</f>
        <v>0</v>
      </c>
      <c r="L52" s="20"/>
      <c r="M52" s="10">
        <f>IF(L52="",0,VLOOKUP(L52,Dropdown!$U$2:$V$6,2,FALSE))</f>
        <v>0</v>
      </c>
      <c r="N52" s="20"/>
      <c r="O52" s="10">
        <f>IF(N52="",0,VLOOKUP(N52,Dropdown!$U$2:$V$6,2,FALSE))</f>
        <v>0</v>
      </c>
      <c r="P52" s="20"/>
      <c r="Q52" s="10">
        <f>IF(P52="",0,VLOOKUP(P52,Dropdown!$U$2:$V$6,2,FALSE))</f>
        <v>0</v>
      </c>
    </row>
    <row r="53" spans="2:17" x14ac:dyDescent="0.3">
      <c r="B53" s="20"/>
      <c r="C53" s="10">
        <f>IF(B53="",0,VLOOKUP(B53,Dropdown!$U$2:$V$6,2,FALSE))</f>
        <v>0</v>
      </c>
      <c r="D53" s="20"/>
      <c r="E53" s="10">
        <f>IF(D53="",0,VLOOKUP(D53,Dropdown!$U$2:$V$6,2,FALSE))</f>
        <v>0</v>
      </c>
      <c r="F53" s="20"/>
      <c r="G53" s="10">
        <f>IF(F53="",0,VLOOKUP(F53,Dropdown!$U$2:$V$6,2,FALSE))</f>
        <v>0</v>
      </c>
      <c r="H53" s="20"/>
      <c r="I53" s="10">
        <f>IF(H53="",0,VLOOKUP(H53,Dropdown!$U$2:$V$6,2,FALSE))</f>
        <v>0</v>
      </c>
      <c r="J53" s="20"/>
      <c r="K53" s="10">
        <f>IF(J53="",0,VLOOKUP(J53,Dropdown!$U$2:$V$6,2,FALSE))</f>
        <v>0</v>
      </c>
      <c r="L53" s="20"/>
      <c r="M53" s="10">
        <f>IF(L53="",0,VLOOKUP(L53,Dropdown!$U$2:$V$6,2,FALSE))</f>
        <v>0</v>
      </c>
      <c r="N53" s="20"/>
      <c r="O53" s="10">
        <f>IF(N53="",0,VLOOKUP(N53,Dropdown!$U$2:$V$6,2,FALSE))</f>
        <v>0</v>
      </c>
      <c r="P53" s="20"/>
      <c r="Q53" s="10">
        <f>IF(P53="",0,VLOOKUP(P53,Dropdown!$U$2:$V$6,2,FALSE))</f>
        <v>0</v>
      </c>
    </row>
    <row r="54" spans="2:17" x14ac:dyDescent="0.3">
      <c r="B54" s="20"/>
      <c r="C54" s="10">
        <f>IF(B54="",0,VLOOKUP(B54,Dropdown!$U$2:$V$6,2,FALSE))</f>
        <v>0</v>
      </c>
      <c r="D54" s="20"/>
      <c r="E54" s="10">
        <f>IF(D54="",0,VLOOKUP(D54,Dropdown!$U$2:$V$6,2,FALSE))</f>
        <v>0</v>
      </c>
      <c r="F54" s="20"/>
      <c r="G54" s="10">
        <f>IF(F54="",0,VLOOKUP(F54,Dropdown!$U$2:$V$6,2,FALSE))</f>
        <v>0</v>
      </c>
      <c r="H54" s="20"/>
      <c r="I54" s="10">
        <f>IF(H54="",0,VLOOKUP(H54,Dropdown!$U$2:$V$6,2,FALSE))</f>
        <v>0</v>
      </c>
      <c r="J54" s="20"/>
      <c r="K54" s="10">
        <f>IF(J54="",0,VLOOKUP(J54,Dropdown!$U$2:$V$6,2,FALSE))</f>
        <v>0</v>
      </c>
      <c r="L54" s="20"/>
      <c r="M54" s="10">
        <f>IF(L54="",0,VLOOKUP(L54,Dropdown!$U$2:$V$6,2,FALSE))</f>
        <v>0</v>
      </c>
      <c r="N54" s="20"/>
      <c r="O54" s="10">
        <f>IF(N54="",0,VLOOKUP(N54,Dropdown!$U$2:$V$6,2,FALSE))</f>
        <v>0</v>
      </c>
      <c r="P54" s="20"/>
      <c r="Q54" s="10">
        <f>IF(P54="",0,VLOOKUP(P54,Dropdown!$U$2:$V$6,2,FALSE))</f>
        <v>0</v>
      </c>
    </row>
    <row r="55" spans="2:17" x14ac:dyDescent="0.3">
      <c r="B55" s="20"/>
      <c r="C55" s="10">
        <f>IF(B55="",0,VLOOKUP(B55,Dropdown!$U$2:$V$6,2,FALSE))</f>
        <v>0</v>
      </c>
      <c r="D55" s="20"/>
      <c r="E55" s="10">
        <f>IF(D55="",0,VLOOKUP(D55,Dropdown!$U$2:$V$6,2,FALSE))</f>
        <v>0</v>
      </c>
      <c r="F55" s="20"/>
      <c r="G55" s="10">
        <f>IF(F55="",0,VLOOKUP(F55,Dropdown!$U$2:$V$6,2,FALSE))</f>
        <v>0</v>
      </c>
      <c r="H55" s="20"/>
      <c r="I55" s="10">
        <f>IF(H55="",0,VLOOKUP(H55,Dropdown!$U$2:$V$6,2,FALSE))</f>
        <v>0</v>
      </c>
      <c r="J55" s="20"/>
      <c r="K55" s="10">
        <f>IF(J55="",0,VLOOKUP(J55,Dropdown!$U$2:$V$6,2,FALSE))</f>
        <v>0</v>
      </c>
      <c r="L55" s="20"/>
      <c r="M55" s="10">
        <f>IF(L55="",0,VLOOKUP(L55,Dropdown!$U$2:$V$6,2,FALSE))</f>
        <v>0</v>
      </c>
      <c r="N55" s="20"/>
      <c r="O55" s="10">
        <f>IF(N55="",0,VLOOKUP(N55,Dropdown!$U$2:$V$6,2,FALSE))</f>
        <v>0</v>
      </c>
      <c r="P55" s="20"/>
      <c r="Q55" s="10">
        <f>IF(P55="",0,VLOOKUP(P55,Dropdown!$U$2:$V$6,2,FALSE))</f>
        <v>0</v>
      </c>
    </row>
    <row r="56" spans="2:17" x14ac:dyDescent="0.3">
      <c r="B56" s="20"/>
      <c r="C56" s="10">
        <f>IF(B56="",0,VLOOKUP(B56,Dropdown!$U$2:$V$6,2,FALSE))</f>
        <v>0</v>
      </c>
      <c r="D56" s="20"/>
      <c r="E56" s="10">
        <f>IF(D56="",0,VLOOKUP(D56,Dropdown!$U$2:$V$6,2,FALSE))</f>
        <v>0</v>
      </c>
      <c r="F56" s="20"/>
      <c r="G56" s="10">
        <f>IF(F56="",0,VLOOKUP(F56,Dropdown!$U$2:$V$6,2,FALSE))</f>
        <v>0</v>
      </c>
      <c r="H56" s="20"/>
      <c r="I56" s="10">
        <f>IF(H56="",0,VLOOKUP(H56,Dropdown!$U$2:$V$6,2,FALSE))</f>
        <v>0</v>
      </c>
      <c r="J56" s="20"/>
      <c r="K56" s="10">
        <f>IF(J56="",0,VLOOKUP(J56,Dropdown!$U$2:$V$6,2,FALSE))</f>
        <v>0</v>
      </c>
      <c r="L56" s="20"/>
      <c r="M56" s="10">
        <f>IF(L56="",0,VLOOKUP(L56,Dropdown!$U$2:$V$6,2,FALSE))</f>
        <v>0</v>
      </c>
      <c r="N56" s="20"/>
      <c r="O56" s="10">
        <f>IF(N56="",0,VLOOKUP(N56,Dropdown!$U$2:$V$6,2,FALSE))</f>
        <v>0</v>
      </c>
      <c r="P56" s="20"/>
      <c r="Q56" s="10">
        <f>IF(P56="",0,VLOOKUP(P56,Dropdown!$U$2:$V$6,2,FALSE))</f>
        <v>0</v>
      </c>
    </row>
  </sheetData>
  <sheetProtection selectLockedCells="1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029450-6613-428E-A84E-C08BE4C587FA}">
          <x14:formula1>
            <xm:f>Dropdown!$U$2:$U$6</xm:f>
          </x14:formula1>
          <xm:sqref>P39:P56 F39:F56 G23:G56 H23:H37 H39:H56 M23:M56 P23:P37 O23:O56 F23:F37 D39:D56 J23:J37 K23:K56 J39:J56 L23:L37 N23:N37 L39:L56 N39:N56 E15:E56 B3:B37 D15:D37 F15:H22 B39:B56 D3:H14 J3:P22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A19B-7F9F-4BB9-B8FF-8A18DF2CD86B}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7735044-2ca3-48ec-b4f8-9489089e697b">
      <Terms xmlns="http://schemas.microsoft.com/office/infopath/2007/PartnerControls"/>
    </lcf76f155ced4ddcb4097134ff3c332f>
    <TaxCatchAll xmlns="e6005bf1-d0f4-4249-953a-192fb52697f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80D2B40710049A3F7D65979536133" ma:contentTypeVersion="14" ma:contentTypeDescription="Create a new document." ma:contentTypeScope="" ma:versionID="e3617840fb203927f77c382db1219b2a">
  <xsd:schema xmlns:xsd="http://www.w3.org/2001/XMLSchema" xmlns:xs="http://www.w3.org/2001/XMLSchema" xmlns:p="http://schemas.microsoft.com/office/2006/metadata/properties" xmlns:ns2="07735044-2ca3-48ec-b4f8-9489089e697b" xmlns:ns3="e6005bf1-d0f4-4249-953a-192fb52697f9" targetNamespace="http://schemas.microsoft.com/office/2006/metadata/properties" ma:root="true" ma:fieldsID="8e17f3efc6dffd49818482116a6bb6a4" ns2:_="" ns3:_="">
    <xsd:import namespace="07735044-2ca3-48ec-b4f8-9489089e697b"/>
    <xsd:import namespace="e6005bf1-d0f4-4249-953a-192fb52697f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735044-2ca3-48ec-b4f8-9489089e69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a168025-d2f2-4a7e-b3c9-bf6c9ad4837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005bf1-d0f4-4249-953a-192fb52697f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6d7fb29-7fe3-474c-bf04-030929b14a14}" ma:internalName="TaxCatchAll" ma:showField="CatchAllData" ma:web="e6005bf1-d0f4-4249-953a-192fb52697f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2BBAE-A76D-4D74-A655-646F31A2CA29}">
  <ds:schemaRefs>
    <ds:schemaRef ds:uri="http://schemas.microsoft.com/office/2006/metadata/properties"/>
    <ds:schemaRef ds:uri="http://schemas.microsoft.com/office/infopath/2007/PartnerControls"/>
    <ds:schemaRef ds:uri="07735044-2ca3-48ec-b4f8-9489089e697b"/>
    <ds:schemaRef ds:uri="e6005bf1-d0f4-4249-953a-192fb52697f9"/>
  </ds:schemaRefs>
</ds:datastoreItem>
</file>

<file path=customXml/itemProps2.xml><?xml version="1.0" encoding="utf-8"?>
<ds:datastoreItem xmlns:ds="http://schemas.openxmlformats.org/officeDocument/2006/customXml" ds:itemID="{F34F083C-3298-436C-995A-2AE7F8EA8B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59697B-75A8-4A33-999B-B6F2CDE760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735044-2ca3-48ec-b4f8-9489089e697b"/>
    <ds:schemaRef ds:uri="e6005bf1-d0f4-4249-953a-192fb52697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Vulnerabilty</vt:lpstr>
      <vt:lpstr>Hazard information</vt:lpstr>
      <vt:lpstr>Dropdown</vt:lpstr>
      <vt:lpstr>Services Notes</vt:lpstr>
      <vt:lpstr>Data summary</vt:lpstr>
      <vt:lpstr>Attendance list</vt:lpstr>
      <vt:lpstr>Services</vt:lpstr>
      <vt:lpstr>Services!Print_Area</vt:lpstr>
    </vt:vector>
  </TitlesOfParts>
  <Manager/>
  <Company>HP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Fourie, Andries</dc:creator>
  <cp:keywords/>
  <dc:description/>
  <cp:lastModifiedBy>Andries Fourie</cp:lastModifiedBy>
  <cp:revision/>
  <dcterms:created xsi:type="dcterms:W3CDTF">2013-05-03T09:02:43Z</dcterms:created>
  <dcterms:modified xsi:type="dcterms:W3CDTF">2025-06-09T12:28:40Z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0x010100DCD80D2B40710049A3F7D65979536133</vt:lpwstr>
  </property>
  <property fmtid="{D5CDD505-2E9C-101B-9397-08002B2CF9AE}" pid="3" name="ESRI_WORKBOOK_ID">
    <vt:lpwstr>5cb66cd8814449a58b779b86f541dc59</vt:lpwstr>
  </property>
  <property fmtid="{D5CDD505-2E9C-101B-9397-08002B2CF9AE}" pid="4" name="MediaServiceImageTags">
    <vt:lpwstr/>
  </property>
</Properties>
</file>